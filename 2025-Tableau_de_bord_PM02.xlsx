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6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ml.chartshapes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ml.chartsha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4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servegroupe.sharepoint.com/sites/LUX-C003765-ABSERVEGROUP/Shared Documents/QSE Commun/03-TDB - PA - R&amp;O/PM02 Manager, piloter, Améliorer le SMQS/2025/"/>
    </mc:Choice>
  </mc:AlternateContent>
  <xr:revisionPtr revIDLastSave="2045" documentId="8_{8A07FEC9-DD13-402E-9B30-4C056449D672}" xr6:coauthVersionLast="47" xr6:coauthVersionMax="47" xr10:uidLastSave="{63226D8D-FD1E-463F-A34D-2C522B91D9C6}"/>
  <bookViews>
    <workbookView xWindow="-28920" yWindow="180" windowWidth="29040" windowHeight="15720" activeTab="4" xr2:uid="{49902542-1A84-4CA8-BC6D-5B1E51848A48}"/>
  </bookViews>
  <sheets>
    <sheet name="Zoom Indicateurs 2025" sheetId="1" r:id="rId1"/>
    <sheet name="Synthèse PM02 2025" sheetId="3" r:id="rId2"/>
    <sheet name="Objectifs 2026" sheetId="13" r:id="rId3"/>
    <sheet name="Détails1" sheetId="15" state="hidden" r:id="rId4"/>
    <sheet name="Indicateur audit processus" sheetId="14" r:id="rId5"/>
    <sheet name="Synthèse PR07 2024" sheetId="12" state="hidden" r:id="rId6"/>
  </sheets>
  <definedNames>
    <definedName name="_xlnm._FilterDatabase" localSheetId="2" hidden="1">'Objectifs 2026'!$B$2:$B$2</definedName>
    <definedName name="_xlnm._FilterDatabase" localSheetId="0" hidden="1">'Zoom Indicateurs 2025'!$A$1:$P$1</definedName>
    <definedName name="_xlchart.v1.0" hidden="1">'Zoom Indicateurs 2025'!$A$25</definedName>
    <definedName name="_xlchart.v1.1" hidden="1">'Zoom Indicateurs 2025'!$E$1:$P$1</definedName>
    <definedName name="_xlchart.v1.10" hidden="1">'Zoom Indicateurs 2025'!$E$1:$P$1</definedName>
    <definedName name="_xlchart.v1.11" hidden="1">'Zoom Indicateurs 2025'!$E$26:$P$26</definedName>
    <definedName name="_xlchart.v1.12" hidden="1">'Zoom Indicateurs 2025'!$A$49</definedName>
    <definedName name="_xlchart.v1.13" hidden="1">'Zoom Indicateurs 2025'!$E$1:$P$1</definedName>
    <definedName name="_xlchart.v1.14" hidden="1">'Zoom Indicateurs 2025'!$E$49:$P$49</definedName>
    <definedName name="_xlchart.v1.15" hidden="1">'Zoom Indicateurs 2025'!$A$48</definedName>
    <definedName name="_xlchart.v1.16" hidden="1">'Zoom Indicateurs 2025'!$E$1:$P$1</definedName>
    <definedName name="_xlchart.v1.17" hidden="1">'Zoom Indicateurs 2025'!$E$48:$P$48</definedName>
    <definedName name="_xlchart.v1.2" hidden="1">'Zoom Indicateurs 2025'!$E$25:$P$25</definedName>
    <definedName name="_xlchart.v1.3" hidden="1">'Zoom Indicateurs 2025'!$A$28</definedName>
    <definedName name="_xlchart.v1.4" hidden="1">'Zoom Indicateurs 2025'!$E$1:$P$1</definedName>
    <definedName name="_xlchart.v1.5" hidden="1">'Zoom Indicateurs 2025'!$E$28:$P$28</definedName>
    <definedName name="_xlchart.v1.6" hidden="1">'Zoom Indicateurs 2025'!$A$24</definedName>
    <definedName name="_xlchart.v1.7" hidden="1">'Zoom Indicateurs 2025'!$E$1:$P$1</definedName>
    <definedName name="_xlchart.v1.8" hidden="1">'Zoom Indicateurs 2025'!$E$24:$P$24</definedName>
    <definedName name="_xlchart.v1.9" hidden="1">'Zoom Indicateurs 2025'!$A$26</definedName>
    <definedName name="_xlnm.Print_Area" localSheetId="2">'Objectifs 2026'!$B$2:$B$51</definedName>
    <definedName name="_xlnm.Print_Area" localSheetId="0">'Zoom Indicateurs 2025'!$A$1:$P$51</definedName>
  </definedNames>
  <calcPr calcId="191029"/>
  <pivotCaches>
    <pivotCache cacheId="0" r:id="rId7"/>
    <pivotCache cacheId="1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4" l="1"/>
  <c r="H51" i="14"/>
  <c r="H50" i="14"/>
  <c r="H49" i="14"/>
  <c r="F57" i="3"/>
  <c r="F56" i="3"/>
  <c r="C57" i="3"/>
  <c r="C56" i="3"/>
  <c r="D34" i="1" l="1"/>
  <c r="D33" i="1"/>
  <c r="D32" i="1"/>
  <c r="AB6" i="3"/>
  <c r="AB5" i="3"/>
  <c r="Y6" i="3"/>
  <c r="Y5" i="3"/>
  <c r="H28" i="14" l="1"/>
  <c r="H27" i="14"/>
  <c r="H26" i="14"/>
  <c r="H25" i="14"/>
  <c r="AG81" i="3"/>
  <c r="AD81" i="3"/>
  <c r="AG80" i="3"/>
  <c r="AD80" i="3"/>
  <c r="F82" i="3" l="1"/>
  <c r="C82" i="3"/>
  <c r="F81" i="3"/>
  <c r="C81" i="3"/>
  <c r="I12" i="14"/>
  <c r="I14" i="14" l="1"/>
  <c r="I13" i="14"/>
  <c r="I15" i="14"/>
  <c r="D28" i="1"/>
  <c r="F31" i="3"/>
  <c r="K33" i="3"/>
  <c r="D50" i="1" l="1"/>
  <c r="D49" i="1"/>
  <c r="D48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 l="1"/>
  <c r="D27" i="1"/>
  <c r="D25" i="1"/>
  <c r="D24" i="1"/>
  <c r="N32" i="3" l="1"/>
  <c r="AF27" i="3"/>
  <c r="AF43" i="3"/>
  <c r="Y31" i="3"/>
  <c r="AB31" i="3"/>
  <c r="U5" i="3"/>
  <c r="R5" i="3"/>
  <c r="D11" i="1" l="1"/>
  <c r="R7" i="3" s="1"/>
  <c r="D12" i="1"/>
  <c r="D9" i="1"/>
  <c r="Y30" i="3" l="1"/>
  <c r="R6" i="3"/>
  <c r="U6" i="3"/>
  <c r="AB30" i="3"/>
  <c r="F134" i="3" l="1"/>
  <c r="F133" i="3"/>
  <c r="C134" i="3"/>
  <c r="C133" i="3"/>
  <c r="AI43" i="3" l="1"/>
  <c r="N33" i="3"/>
  <c r="AI27" i="3"/>
  <c r="F108" i="3" l="1"/>
  <c r="F107" i="3"/>
  <c r="C108" i="3"/>
  <c r="C107" i="3"/>
  <c r="U5" i="12" l="1"/>
  <c r="R5" i="12"/>
  <c r="N5" i="12"/>
  <c r="K5" i="12"/>
  <c r="G5" i="12"/>
  <c r="D5" i="12"/>
  <c r="G25" i="12"/>
  <c r="D25" i="12"/>
  <c r="B24" i="12"/>
  <c r="P4" i="12"/>
  <c r="I4" i="12"/>
  <c r="B4" i="12"/>
  <c r="U55" i="3"/>
  <c r="R55" i="3"/>
  <c r="U30" i="3"/>
  <c r="R30" i="3"/>
  <c r="F32" i="3"/>
  <c r="C32" i="3"/>
  <c r="C31" i="3"/>
  <c r="N5" i="3" l="1"/>
  <c r="L5" i="3"/>
  <c r="J5" i="3"/>
  <c r="D4" i="1"/>
  <c r="E6" i="3" s="1"/>
  <c r="D5" i="1"/>
  <c r="C6" i="3" s="1"/>
  <c r="D6" i="1"/>
  <c r="J6" i="3" s="1"/>
  <c r="D7" i="1"/>
  <c r="N6" i="3" s="1"/>
  <c r="D8" i="1"/>
  <c r="L6" i="3" s="1"/>
  <c r="U7" i="3"/>
  <c r="G5" i="3"/>
  <c r="E5" i="3"/>
  <c r="C5" i="3"/>
  <c r="D3" i="1" l="1"/>
  <c r="G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Fabien MARTZ</author>
  </authors>
  <commentList>
    <comment ref="D23" authorId="0" shapeId="0" xr:uid="{5C3051F7-1D75-44B7-9EF2-D62D73AA756A}">
      <text>
        <r>
          <rPr>
            <b/>
            <sz val="9"/>
            <color indexed="81"/>
            <rFont val="Tahoma"/>
            <family val="2"/>
          </rPr>
          <t>Fabien MARTZ:</t>
        </r>
        <r>
          <rPr>
            <sz val="9"/>
            <color indexed="81"/>
            <rFont val="Tahoma"/>
            <family val="2"/>
          </rPr>
          <t xml:space="preserve">
Voir colonne Q</t>
        </r>
      </text>
    </comment>
  </commentList>
</comments>
</file>

<file path=xl/sharedStrings.xml><?xml version="1.0" encoding="utf-8"?>
<sst xmlns="http://schemas.openxmlformats.org/spreadsheetml/2006/main" count="402" uniqueCount="157">
  <si>
    <t>Zoom Indicateurs 2025</t>
  </si>
  <si>
    <t>Suivi</t>
  </si>
  <si>
    <t>Objectifs 2025</t>
  </si>
  <si>
    <t>Cumul  2025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</si>
  <si>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</si>
  <si>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</si>
  <si>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</si>
  <si>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</si>
  <si>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</si>
  <si>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</si>
  <si>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</si>
  <si>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</si>
  <si>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</si>
  <si>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</si>
  <si>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</si>
  <si>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</si>
  <si>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PM02 :  Manager, piloter, améliorer le SMQS</t>
  </si>
  <si>
    <t xml:space="preserve">Animation sécurité </t>
  </si>
  <si>
    <t>Annuel</t>
  </si>
  <si>
    <t>Fiches d'étonnements</t>
  </si>
  <si>
    <t>Audits terrain réalisées</t>
  </si>
  <si>
    <t>Audits processus réalisées</t>
  </si>
  <si>
    <t>Revues de direction</t>
  </si>
  <si>
    <t>Revues de processus</t>
  </si>
  <si>
    <t>Taux d'évaluation règlementaire FRANCE</t>
  </si>
  <si>
    <t>Trimestriel</t>
  </si>
  <si>
    <t>Taux de conformité règlementaire FRANCE</t>
  </si>
  <si>
    <t>Taux d'évaluation règlementaire Luxembourg</t>
  </si>
  <si>
    <t>Semestriel</t>
  </si>
  <si>
    <t>Taux de conformité règlementaire Luxembourg</t>
  </si>
  <si>
    <t>AB Serve Group (Exploitation)</t>
  </si>
  <si>
    <t>Taux de fréquence</t>
  </si>
  <si>
    <t>Mensuel</t>
  </si>
  <si>
    <t>Taux de gravité</t>
  </si>
  <si>
    <t xml:space="preserve">Nombre d'ATSA </t>
  </si>
  <si>
    <t>Nombre d'ATA</t>
  </si>
  <si>
    <t>Nombre d'analyse</t>
  </si>
  <si>
    <t>Taux d'analyse</t>
  </si>
  <si>
    <t>Nombre de réclamations et d'incidents client</t>
  </si>
  <si>
    <t>AB Serve</t>
  </si>
  <si>
    <t>Glissant 12M</t>
  </si>
  <si>
    <t>-</t>
  </si>
  <si>
    <t>Valoris Emploi</t>
  </si>
  <si>
    <t xml:space="preserve">nombre d'AT trajet </t>
  </si>
  <si>
    <r>
      <t xml:space="preserve">Nombre d'analyse  réalisées </t>
    </r>
    <r>
      <rPr>
        <b/>
        <sz val="10"/>
        <color rgb="FFFF0000"/>
        <rFont val="Arial"/>
        <family val="2"/>
      </rPr>
      <t>ATA</t>
    </r>
  </si>
  <si>
    <r>
      <t xml:space="preserve">Taux d'analyse </t>
    </r>
    <r>
      <rPr>
        <b/>
        <sz val="10"/>
        <color rgb="FFFF0000"/>
        <rFont val="Arial"/>
        <family val="2"/>
      </rPr>
      <t xml:space="preserve">ATA </t>
    </r>
  </si>
  <si>
    <t>AB Serve GERMANY</t>
  </si>
  <si>
    <t>Nombre d'analyse réalisées</t>
  </si>
  <si>
    <t>AB Serve Industries</t>
  </si>
  <si>
    <t xml:space="preserve">Indicateur  Générale AB Serve Group / Toute Société </t>
  </si>
  <si>
    <t xml:space="preserve">Animation Terrain Qualité - Sécurité - Environement </t>
  </si>
  <si>
    <t xml:space="preserve">Animation Système Qualité - Sécurité - Environement </t>
  </si>
  <si>
    <t>Veille réglementaire France et Luxembourg</t>
  </si>
  <si>
    <t xml:space="preserve">Audit terrain objectif </t>
  </si>
  <si>
    <t xml:space="preserve">FAI objectif </t>
  </si>
  <si>
    <t xml:space="preserve">fiche sécurité objectif </t>
  </si>
  <si>
    <t>Audit processus obj.</t>
  </si>
  <si>
    <t>Revue processus obj.</t>
  </si>
  <si>
    <t>Revue direction Obj.</t>
  </si>
  <si>
    <t>Objectif taux d'évaluation :</t>
  </si>
  <si>
    <t xml:space="preserve">Objectif taux de conformité </t>
  </si>
  <si>
    <t xml:space="preserve">Audit terrain réalisé </t>
  </si>
  <si>
    <t xml:space="preserve">FAI réalisé </t>
  </si>
  <si>
    <t xml:space="preserve">fiche sécurité réalisé  </t>
  </si>
  <si>
    <t xml:space="preserve">Audit pr. réalisé </t>
  </si>
  <si>
    <t xml:space="preserve">Revue pr. réalisé </t>
  </si>
  <si>
    <t xml:space="preserve">Revue dir. Réalsié </t>
  </si>
  <si>
    <t xml:space="preserve">TE réalisée France </t>
  </si>
  <si>
    <t>TC réalisé France</t>
  </si>
  <si>
    <t xml:space="preserve">TE réalisée Luxembourg </t>
  </si>
  <si>
    <t xml:space="preserve">TC réalisé Luxembourg </t>
  </si>
  <si>
    <r>
      <t xml:space="preserve">Nombre d'accident </t>
    </r>
    <r>
      <rPr>
        <b/>
        <sz val="10"/>
        <color rgb="FFFF0000"/>
        <rFont val="Arial"/>
        <family val="2"/>
      </rPr>
      <t>sans</t>
    </r>
    <r>
      <rPr>
        <b/>
        <sz val="10"/>
        <color theme="8" tint="-0.249977111117893"/>
        <rFont val="Arial"/>
        <family val="2"/>
      </rPr>
      <t xml:space="preserve"> Arrêt</t>
    </r>
  </si>
  <si>
    <t xml:space="preserve">Indicateur spécifique AB Serve </t>
  </si>
  <si>
    <t>obj. annuel   =</t>
  </si>
  <si>
    <t>cumul   =</t>
  </si>
  <si>
    <t>Nombre d'AT AB Serve</t>
  </si>
  <si>
    <t>Taux de fréquence AB Serve</t>
  </si>
  <si>
    <t xml:space="preserve">Veille réglementaire France </t>
  </si>
  <si>
    <t>Nombre d'analyse évènements indésirables réalisées ATA AB Serve</t>
  </si>
  <si>
    <t>Taux de gravité AB Serve</t>
  </si>
  <si>
    <t>obj.réclamation &gt;</t>
  </si>
  <si>
    <t>cumul  réclamation =</t>
  </si>
  <si>
    <t>Tx Evaluation</t>
  </si>
  <si>
    <t>Tx conformité</t>
  </si>
  <si>
    <t>Taux d'analyse AB Serve</t>
  </si>
  <si>
    <t>TF cumul</t>
  </si>
  <si>
    <t>TG cumul</t>
  </si>
  <si>
    <t>Pourcentage d'analyse d'AT avec ou sans Arrêt</t>
  </si>
  <si>
    <t xml:space="preserve">Tx Eval objectif </t>
  </si>
  <si>
    <t xml:space="preserve">Tx Conf objectif </t>
  </si>
  <si>
    <t xml:space="preserve">TF objectif </t>
  </si>
  <si>
    <t xml:space="preserve">TG objectif </t>
  </si>
  <si>
    <t>Nbre à faire    =</t>
  </si>
  <si>
    <t>Réalisée =</t>
  </si>
  <si>
    <r>
      <t xml:space="preserve">Nombre d'accident </t>
    </r>
    <r>
      <rPr>
        <b/>
        <sz val="10"/>
        <color rgb="FFFF0000"/>
        <rFont val="Arial"/>
        <family val="2"/>
      </rPr>
      <t>avec</t>
    </r>
    <r>
      <rPr>
        <b/>
        <sz val="10"/>
        <color theme="8" tint="-0.249977111117893"/>
        <rFont val="Arial"/>
        <family val="2"/>
      </rPr>
      <t xml:space="preserve"> Arrêt</t>
    </r>
  </si>
  <si>
    <t xml:space="preserve">Indicateur Spécifique VALORIS </t>
  </si>
  <si>
    <t>Nombre d'AT Valoris Emploi</t>
  </si>
  <si>
    <t>Taux d'analyse Valoris Emploi</t>
  </si>
  <si>
    <t xml:space="preserve">ATA = accident avec arret </t>
  </si>
  <si>
    <t xml:space="preserve">ATSA = accident sans arret </t>
  </si>
  <si>
    <t xml:space="preserve">AT trajet  = accident de trajet </t>
  </si>
  <si>
    <t>Taux de fréquence AB Serve Industries</t>
  </si>
  <si>
    <t>Nombre d'AT AB Serve Industries</t>
  </si>
  <si>
    <t>Taux de gravité AB Serve Industries</t>
  </si>
  <si>
    <t>Nb d'analyse évènements indésirables réalisées ATA AB Serve Industries</t>
  </si>
  <si>
    <t>Taux d'analyse AB Serve Industries</t>
  </si>
  <si>
    <t xml:space="preserve">AB Serve Group ( Chantier Luxembourg ) </t>
  </si>
  <si>
    <t>Taux de fréquence AB Serve Group (Exploitation)</t>
  </si>
  <si>
    <t>Nombre d'AT AB Serve Group</t>
  </si>
  <si>
    <t>Taux de gravité AB Serve (Exploitation)</t>
  </si>
  <si>
    <t>Nombre d'analyse évènements indésirables réalisées ATA AB Serve Group</t>
  </si>
  <si>
    <t>Taux d'analyse AB Serve Group</t>
  </si>
  <si>
    <t>AB Serve Germany</t>
  </si>
  <si>
    <t>Indicateurs</t>
  </si>
  <si>
    <t>Objectifs 2026</t>
  </si>
  <si>
    <r>
      <t xml:space="preserve">Nombre d'analyse  réalisées </t>
    </r>
    <r>
      <rPr>
        <b/>
        <sz val="10"/>
        <color rgb="FFFF0000"/>
        <rFont val="Calibri"/>
        <family val="2"/>
        <scheme val="minor"/>
      </rPr>
      <t>ATA</t>
    </r>
  </si>
  <si>
    <r>
      <t xml:space="preserve">Taux d'analyse </t>
    </r>
    <r>
      <rPr>
        <b/>
        <sz val="10"/>
        <color rgb="FFFF0000"/>
        <rFont val="Calibri"/>
        <family val="2"/>
        <scheme val="minor"/>
      </rPr>
      <t xml:space="preserve">ATA </t>
    </r>
  </si>
  <si>
    <t>Étiquettes de lignes</t>
  </si>
  <si>
    <t>Somme de Total</t>
  </si>
  <si>
    <t>Somme de Total2</t>
  </si>
  <si>
    <t>Conforme</t>
  </si>
  <si>
    <t>Défauts isolés</t>
  </si>
  <si>
    <t>Non-conforme</t>
  </si>
  <si>
    <t>Non audité</t>
  </si>
  <si>
    <t>Processus</t>
  </si>
  <si>
    <t>PR04</t>
  </si>
  <si>
    <t>Total</t>
  </si>
  <si>
    <t>Total général</t>
  </si>
  <si>
    <t>Zoom Indicateurs PR07 2024 : Représentation Graphique</t>
  </si>
  <si>
    <t xml:space="preserve">Indicateurs AB Serve France </t>
  </si>
  <si>
    <t>Objectif 2024 =</t>
  </si>
  <si>
    <t>Cumul 2024 =</t>
  </si>
  <si>
    <t>Zoom Indicateurs PM02 2025 : Représentation Graphique</t>
  </si>
  <si>
    <t>Cumul 2025</t>
  </si>
  <si>
    <t>PM02</t>
  </si>
  <si>
    <t>PR01</t>
  </si>
  <si>
    <t>obj.réclamation &lt;</t>
  </si>
  <si>
    <t>PS01</t>
  </si>
  <si>
    <t>PR042</t>
  </si>
  <si>
    <t>Détails pou for Somme de Total - Processus : Conforme</t>
  </si>
  <si>
    <t>TF</t>
  </si>
  <si>
    <t>TG</t>
  </si>
  <si>
    <t>2025</t>
  </si>
  <si>
    <t>2024</t>
  </si>
  <si>
    <t>2023</t>
  </si>
  <si>
    <t>2022</t>
  </si>
  <si>
    <t>Nombre d'accident AB Serve Industries</t>
  </si>
  <si>
    <t>AT A</t>
  </si>
  <si>
    <t>AT SA</t>
  </si>
  <si>
    <t xml:space="preserve">AT A objectif </t>
  </si>
  <si>
    <t xml:space="preserve">AT SA objectif </t>
  </si>
  <si>
    <t>PR02</t>
  </si>
  <si>
    <t>PS02</t>
  </si>
  <si>
    <t>Veille réglementaire Luxembourg</t>
  </si>
  <si>
    <t>Taux de fréquence  (12 mois glissants)</t>
  </si>
  <si>
    <t>Taux de gravité (12 mois glissants)</t>
  </si>
  <si>
    <t>PR07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</si>
</sst>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0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8" tint="-0.249977111117893"/>
      <name val="Arial"/>
      <family val="2"/>
    </font>
    <font>
      <b/>
      <sz val="10"/>
      <color rgb="FF00B05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B5A0A"/>
        <bgColor indexed="64"/>
      </patternFill>
    </fill>
    <fill>
      <patternFill patternType="solid">
        <fgColor rgb="FF00598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655E5C"/>
        <bgColor indexed="64"/>
      </patternFill>
    </fill>
    <fill>
      <patternFill patternType="solid">
        <fgColor rgb="FF655E5C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00598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2F2F2"/>
      </patternFill>
    </fill>
  </fills>
  <borders count="7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0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rgb="FF00000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medium">
        <color rgb="FF000000"/>
      </right>
      <top style="thin">
        <color theme="0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rgb="FF00000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3" fillId="11" borderId="0" applyNumberFormat="0" applyBorder="0" applyAlignment="0" applyProtection="0"/>
    <xf numFmtId="0" fontId="15" fillId="13" borderId="0" applyNumberFormat="0" applyBorder="0" applyAlignment="0" applyProtection="0"/>
    <xf numFmtId="43" fontId="1" fillId="0" borderId="0" applyFont="0" applyFill="0" applyBorder="0" applyAlignment="0" applyProtection="0"/>
    <xf numFmtId="0" fontId="33" fillId="39" borderId="69" applyNumberFormat="0" applyAlignment="0" applyProtection="0"/>
  </cellStyleXfs>
  <cellXfs count="366">
    <xf numFmtId="0" fontId="0" fillId="0" borderId="0" xfId="0"/>
    <xf numFmtId="0" fontId="9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4" fillId="5" borderId="12" xfId="2" applyFont="1" applyFill="1" applyBorder="1" applyAlignment="1" applyProtection="1">
      <alignment vertical="center"/>
    </xf>
    <xf numFmtId="0" fontId="4" fillId="5" borderId="8" xfId="2" applyFont="1" applyFill="1" applyBorder="1" applyAlignment="1" applyProtection="1">
      <alignment vertical="center"/>
    </xf>
    <xf numFmtId="0" fontId="4" fillId="5" borderId="9" xfId="2" applyFont="1" applyFill="1" applyBorder="1" applyAlignment="1" applyProtection="1">
      <alignment vertical="center"/>
    </xf>
    <xf numFmtId="0" fontId="6" fillId="8" borderId="6" xfId="0" applyFont="1" applyFill="1" applyBorder="1" applyAlignment="1">
      <alignment horizontal="left" vertical="center"/>
    </xf>
    <xf numFmtId="9" fontId="7" fillId="0" borderId="6" xfId="0" applyNumberFormat="1" applyFont="1" applyBorder="1" applyAlignment="1">
      <alignment horizontal="center" vertical="center"/>
    </xf>
    <xf numFmtId="9" fontId="7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0" fontId="6" fillId="8" borderId="19" xfId="0" applyFont="1" applyFill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45"/>
    </xf>
    <xf numFmtId="0" fontId="8" fillId="0" borderId="21" xfId="0" applyFont="1" applyBorder="1" applyAlignment="1">
      <alignment horizontal="center" vertical="center" textRotation="45"/>
    </xf>
    <xf numFmtId="0" fontId="8" fillId="2" borderId="21" xfId="0" applyFont="1" applyFill="1" applyBorder="1" applyAlignment="1">
      <alignment horizontal="center" vertical="center" textRotation="45"/>
    </xf>
    <xf numFmtId="0" fontId="8" fillId="9" borderId="21" xfId="0" applyFont="1" applyFill="1" applyBorder="1" applyAlignment="1">
      <alignment horizontal="center" vertical="center" textRotation="45"/>
    </xf>
    <xf numFmtId="0" fontId="8" fillId="0" borderId="24" xfId="0" applyFont="1" applyBorder="1" applyAlignment="1">
      <alignment horizontal="center" vertical="center" textRotation="45"/>
    </xf>
    <xf numFmtId="0" fontId="3" fillId="5" borderId="17" xfId="2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9" fillId="16" borderId="27" xfId="0" applyFont="1" applyFill="1" applyBorder="1" applyAlignment="1">
      <alignment horizontal="center" vertical="center" wrapText="1"/>
    </xf>
    <xf numFmtId="1" fontId="8" fillId="16" borderId="28" xfId="0" applyNumberFormat="1" applyFont="1" applyFill="1" applyBorder="1" applyAlignment="1">
      <alignment horizontal="center" vertical="center" wrapText="1"/>
    </xf>
    <xf numFmtId="1" fontId="8" fillId="16" borderId="30" xfId="0" applyNumberFormat="1" applyFont="1" applyFill="1" applyBorder="1" applyAlignment="1">
      <alignment horizontal="center" vertical="center" wrapText="1"/>
    </xf>
    <xf numFmtId="1" fontId="19" fillId="16" borderId="30" xfId="0" applyNumberFormat="1" applyFont="1" applyFill="1" applyBorder="1" applyAlignment="1">
      <alignment horizontal="center" vertical="center" wrapText="1"/>
    </xf>
    <xf numFmtId="9" fontId="19" fillId="16" borderId="30" xfId="0" applyNumberFormat="1" applyFont="1" applyFill="1" applyBorder="1" applyAlignment="1">
      <alignment horizontal="center" vertical="center" wrapText="1"/>
    </xf>
    <xf numFmtId="0" fontId="19" fillId="16" borderId="31" xfId="0" applyFont="1" applyFill="1" applyBorder="1" applyAlignment="1">
      <alignment horizontal="center" vertical="center" wrapText="1"/>
    </xf>
    <xf numFmtId="1" fontId="8" fillId="17" borderId="32" xfId="0" applyNumberFormat="1" applyFont="1" applyFill="1" applyBorder="1" applyAlignment="1">
      <alignment horizontal="center" vertical="center" wrapText="1"/>
    </xf>
    <xf numFmtId="1" fontId="8" fillId="18" borderId="33" xfId="0" applyNumberFormat="1" applyFont="1" applyFill="1" applyBorder="1" applyAlignment="1">
      <alignment horizontal="center" vertical="center" wrapText="1"/>
    </xf>
    <xf numFmtId="1" fontId="19" fillId="17" borderId="33" xfId="0" applyNumberFormat="1" applyFont="1" applyFill="1" applyBorder="1" applyAlignment="1">
      <alignment horizontal="center" vertical="center" wrapText="1"/>
    </xf>
    <xf numFmtId="1" fontId="19" fillId="18" borderId="33" xfId="0" applyNumberFormat="1" applyFont="1" applyFill="1" applyBorder="1" applyAlignment="1">
      <alignment horizontal="center" vertical="center" wrapText="1"/>
    </xf>
    <xf numFmtId="9" fontId="19" fillId="16" borderId="35" xfId="0" applyNumberFormat="1" applyFont="1" applyFill="1" applyBorder="1" applyAlignment="1">
      <alignment horizontal="center" vertical="center" wrapText="1"/>
    </xf>
    <xf numFmtId="9" fontId="19" fillId="16" borderId="33" xfId="0" applyNumberFormat="1" applyFont="1" applyFill="1" applyBorder="1" applyAlignment="1">
      <alignment horizontal="center" vertical="center" wrapText="1"/>
    </xf>
    <xf numFmtId="1" fontId="16" fillId="20" borderId="26" xfId="0" applyNumberFormat="1" applyFont="1" applyFill="1" applyBorder="1" applyAlignment="1">
      <alignment horizontal="center" vertical="center"/>
    </xf>
    <xf numFmtId="0" fontId="16" fillId="20" borderId="27" xfId="0" applyFont="1" applyFill="1" applyBorder="1" applyAlignment="1">
      <alignment horizontal="right" vertical="center"/>
    </xf>
    <xf numFmtId="2" fontId="16" fillId="3" borderId="28" xfId="0" applyNumberFormat="1" applyFont="1" applyFill="1" applyBorder="1" applyAlignment="1">
      <alignment horizontal="center" vertical="center"/>
    </xf>
    <xf numFmtId="0" fontId="16" fillId="20" borderId="30" xfId="0" applyFont="1" applyFill="1" applyBorder="1"/>
    <xf numFmtId="0" fontId="16" fillId="20" borderId="27" xfId="0" applyFont="1" applyFill="1" applyBorder="1" applyAlignment="1">
      <alignment horizontal="center" vertical="center"/>
    </xf>
    <xf numFmtId="0" fontId="16" fillId="20" borderId="31" xfId="0" applyFont="1" applyFill="1" applyBorder="1" applyAlignment="1">
      <alignment horizontal="right" vertical="center"/>
    </xf>
    <xf numFmtId="2" fontId="16" fillId="20" borderId="32" xfId="0" applyNumberFormat="1" applyFont="1" applyFill="1" applyBorder="1" applyAlignment="1">
      <alignment horizontal="center" vertical="center"/>
    </xf>
    <xf numFmtId="0" fontId="0" fillId="20" borderId="33" xfId="0" applyFill="1" applyBorder="1"/>
    <xf numFmtId="0" fontId="16" fillId="20" borderId="31" xfId="0" applyFont="1" applyFill="1" applyBorder="1" applyAlignment="1">
      <alignment horizontal="center" vertical="center"/>
    </xf>
    <xf numFmtId="0" fontId="16" fillId="3" borderId="30" xfId="0" applyFont="1" applyFill="1" applyBorder="1"/>
    <xf numFmtId="0" fontId="0" fillId="3" borderId="33" xfId="0" applyFill="1" applyBorder="1"/>
    <xf numFmtId="0" fontId="1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9" fontId="16" fillId="21" borderId="37" xfId="0" applyNumberFormat="1" applyFont="1" applyFill="1" applyBorder="1" applyAlignment="1">
      <alignment horizontal="center"/>
    </xf>
    <xf numFmtId="1" fontId="3" fillId="23" borderId="13" xfId="0" applyNumberFormat="1" applyFont="1" applyFill="1" applyBorder="1" applyAlignment="1">
      <alignment horizontal="center" vertical="center" wrapText="1"/>
    </xf>
    <xf numFmtId="1" fontId="3" fillId="23" borderId="11" xfId="0" applyNumberFormat="1" applyFont="1" applyFill="1" applyBorder="1" applyAlignment="1">
      <alignment horizontal="center" vertical="center"/>
    </xf>
    <xf numFmtId="9" fontId="3" fillId="23" borderId="11" xfId="1" applyFont="1" applyFill="1" applyBorder="1" applyAlignment="1">
      <alignment horizontal="center" vertical="center"/>
    </xf>
    <xf numFmtId="164" fontId="3" fillId="23" borderId="11" xfId="0" applyNumberFormat="1" applyFont="1" applyFill="1" applyBorder="1" applyAlignment="1">
      <alignment horizontal="center" vertical="center"/>
    </xf>
    <xf numFmtId="1" fontId="3" fillId="23" borderId="11" xfId="0" quotePrefix="1" applyNumberFormat="1" applyFont="1" applyFill="1" applyBorder="1" applyAlignment="1">
      <alignment horizontal="center" vertical="center"/>
    </xf>
    <xf numFmtId="10" fontId="3" fillId="23" borderId="11" xfId="0" applyNumberFormat="1" applyFont="1" applyFill="1" applyBorder="1" applyAlignment="1">
      <alignment horizontal="center" vertical="center"/>
    </xf>
    <xf numFmtId="9" fontId="3" fillId="23" borderId="20" xfId="0" applyNumberFormat="1" applyFont="1" applyFill="1" applyBorder="1" applyAlignment="1">
      <alignment horizontal="center" vertical="center"/>
    </xf>
    <xf numFmtId="1" fontId="3" fillId="24" borderId="17" xfId="0" applyNumberFormat="1" applyFont="1" applyFill="1" applyBorder="1" applyAlignment="1">
      <alignment horizontal="center" vertical="center"/>
    </xf>
    <xf numFmtId="9" fontId="3" fillId="24" borderId="17" xfId="0" applyNumberFormat="1" applyFont="1" applyFill="1" applyBorder="1" applyAlignment="1">
      <alignment horizontal="center" vertical="center"/>
    </xf>
    <xf numFmtId="2" fontId="3" fillId="24" borderId="17" xfId="0" applyNumberFormat="1" applyFont="1" applyFill="1" applyBorder="1" applyAlignment="1">
      <alignment horizontal="center" vertical="center"/>
    </xf>
    <xf numFmtId="9" fontId="3" fillId="24" borderId="18" xfId="0" applyNumberFormat="1" applyFont="1" applyFill="1" applyBorder="1" applyAlignment="1">
      <alignment horizontal="center" vertical="center"/>
    </xf>
    <xf numFmtId="1" fontId="3" fillId="24" borderId="15" xfId="0" applyNumberFormat="1" applyFont="1" applyFill="1" applyBorder="1" applyAlignment="1">
      <alignment horizontal="center" vertical="center" wrapText="1"/>
    </xf>
    <xf numFmtId="1" fontId="3" fillId="24" borderId="17" xfId="0" applyNumberFormat="1" applyFont="1" applyFill="1" applyBorder="1" applyAlignment="1">
      <alignment horizontal="center" vertical="center" wrapText="1"/>
    </xf>
    <xf numFmtId="1" fontId="3" fillId="24" borderId="16" xfId="0" applyNumberFormat="1" applyFont="1" applyFill="1" applyBorder="1" applyAlignment="1">
      <alignment horizontal="center" vertical="center" wrapText="1"/>
    </xf>
    <xf numFmtId="2" fontId="3" fillId="24" borderId="17" xfId="0" quotePrefix="1" applyNumberFormat="1" applyFont="1" applyFill="1" applyBorder="1" applyAlignment="1">
      <alignment horizontal="center" vertical="center"/>
    </xf>
    <xf numFmtId="9" fontId="10" fillId="24" borderId="38" xfId="0" applyNumberFormat="1" applyFont="1" applyFill="1" applyBorder="1" applyAlignment="1">
      <alignment horizontal="center" vertical="center" wrapText="1"/>
    </xf>
    <xf numFmtId="9" fontId="10" fillId="23" borderId="22" xfId="0" applyNumberFormat="1" applyFont="1" applyFill="1" applyBorder="1" applyAlignment="1">
      <alignment horizontal="center" vertical="center" wrapText="1"/>
    </xf>
    <xf numFmtId="0" fontId="16" fillId="21" borderId="37" xfId="0" applyFont="1" applyFill="1" applyBorder="1" applyAlignment="1">
      <alignment horizontal="center"/>
    </xf>
    <xf numFmtId="1" fontId="16" fillId="22" borderId="37" xfId="0" applyNumberFormat="1" applyFont="1" applyFill="1" applyBorder="1" applyAlignment="1">
      <alignment horizontal="center"/>
    </xf>
    <xf numFmtId="0" fontId="16" fillId="3" borderId="27" xfId="0" applyFont="1" applyFill="1" applyBorder="1" applyAlignment="1">
      <alignment horizontal="right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right" vertical="center"/>
    </xf>
    <xf numFmtId="2" fontId="16" fillId="3" borderId="32" xfId="0" applyNumberFormat="1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 vertical="center"/>
    </xf>
    <xf numFmtId="2" fontId="16" fillId="29" borderId="28" xfId="0" applyNumberFormat="1" applyFont="1" applyFill="1" applyBorder="1" applyAlignment="1">
      <alignment horizontal="center" vertical="center"/>
    </xf>
    <xf numFmtId="0" fontId="16" fillId="29" borderId="30" xfId="0" applyFont="1" applyFill="1" applyBorder="1"/>
    <xf numFmtId="0" fontId="16" fillId="29" borderId="27" xfId="0" applyFont="1" applyFill="1" applyBorder="1" applyAlignment="1">
      <alignment horizontal="center" vertical="center"/>
    </xf>
    <xf numFmtId="2" fontId="16" fillId="29" borderId="32" xfId="0" applyNumberFormat="1" applyFont="1" applyFill="1" applyBorder="1" applyAlignment="1">
      <alignment horizontal="center" vertical="center"/>
    </xf>
    <xf numFmtId="0" fontId="0" fillId="29" borderId="33" xfId="0" applyFill="1" applyBorder="1"/>
    <xf numFmtId="0" fontId="16" fillId="29" borderId="31" xfId="0" applyFont="1" applyFill="1" applyBorder="1" applyAlignment="1">
      <alignment horizontal="center" vertical="center"/>
    </xf>
    <xf numFmtId="0" fontId="16" fillId="29" borderId="27" xfId="0" applyFont="1" applyFill="1" applyBorder="1" applyAlignment="1">
      <alignment horizontal="right" vertical="center"/>
    </xf>
    <xf numFmtId="0" fontId="16" fillId="29" borderId="31" xfId="0" applyFont="1" applyFill="1" applyBorder="1" applyAlignment="1">
      <alignment horizontal="right" vertical="center"/>
    </xf>
    <xf numFmtId="9" fontId="7" fillId="12" borderId="10" xfId="0" applyNumberFormat="1" applyFont="1" applyFill="1" applyBorder="1" applyAlignment="1">
      <alignment horizontal="center" vertical="center"/>
    </xf>
    <xf numFmtId="9" fontId="7" fillId="12" borderId="6" xfId="0" applyNumberFormat="1" applyFont="1" applyFill="1" applyBorder="1" applyAlignment="1">
      <alignment horizontal="center" vertical="center"/>
    </xf>
    <xf numFmtId="9" fontId="7" fillId="12" borderId="11" xfId="0" applyNumberFormat="1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13" fillId="0" borderId="6" xfId="4" applyFill="1" applyBorder="1" applyAlignment="1">
      <alignment horizontal="center" vertical="center"/>
    </xf>
    <xf numFmtId="0" fontId="15" fillId="0" borderId="4" xfId="5" applyFill="1" applyBorder="1" applyAlignment="1">
      <alignment horizontal="center" vertical="center"/>
    </xf>
    <xf numFmtId="0" fontId="15" fillId="0" borderId="4" xfId="5" quotePrefix="1" applyFill="1" applyBorder="1" applyAlignment="1">
      <alignment horizontal="center" vertical="center"/>
    </xf>
    <xf numFmtId="0" fontId="15" fillId="0" borderId="6" xfId="5" applyFill="1" applyBorder="1" applyAlignment="1">
      <alignment horizontal="center" vertical="center"/>
    </xf>
    <xf numFmtId="0" fontId="15" fillId="0" borderId="6" xfId="5" quotePrefix="1" applyFill="1" applyBorder="1" applyAlignment="1">
      <alignment horizontal="center" vertical="center"/>
    </xf>
    <xf numFmtId="0" fontId="15" fillId="0" borderId="10" xfId="5" applyFill="1" applyBorder="1" applyAlignment="1">
      <alignment horizontal="center" vertical="center"/>
    </xf>
    <xf numFmtId="9" fontId="7" fillId="0" borderId="10" xfId="1" quotePrefix="1" applyFont="1" applyFill="1" applyBorder="1" applyAlignment="1">
      <alignment horizontal="center" vertical="center"/>
    </xf>
    <xf numFmtId="1" fontId="12" fillId="24" borderId="17" xfId="0" applyNumberFormat="1" applyFont="1" applyFill="1" applyBorder="1" applyAlignment="1">
      <alignment horizontal="center" vertical="center"/>
    </xf>
    <xf numFmtId="2" fontId="16" fillId="30" borderId="28" xfId="0" applyNumberFormat="1" applyFont="1" applyFill="1" applyBorder="1" applyAlignment="1">
      <alignment horizontal="center" vertical="center"/>
    </xf>
    <xf numFmtId="1" fontId="16" fillId="30" borderId="37" xfId="0" applyNumberFormat="1" applyFont="1" applyFill="1" applyBorder="1" applyAlignment="1">
      <alignment horizontal="center" vertical="center"/>
    </xf>
    <xf numFmtId="0" fontId="11" fillId="27" borderId="2" xfId="0" applyFont="1" applyFill="1" applyBorder="1" applyAlignment="1">
      <alignment horizontal="left" vertical="center" wrapText="1"/>
    </xf>
    <xf numFmtId="0" fontId="24" fillId="8" borderId="4" xfId="0" applyFont="1" applyFill="1" applyBorder="1" applyAlignment="1">
      <alignment horizontal="left" vertical="center"/>
    </xf>
    <xf numFmtId="0" fontId="24" fillId="8" borderId="6" xfId="0" applyFont="1" applyFill="1" applyBorder="1" applyAlignment="1">
      <alignment horizontal="left" vertical="center"/>
    </xf>
    <xf numFmtId="1" fontId="25" fillId="0" borderId="11" xfId="0" applyNumberFormat="1" applyFont="1" applyBorder="1" applyAlignment="1">
      <alignment horizontal="center" vertical="center"/>
    </xf>
    <xf numFmtId="1" fontId="15" fillId="13" borderId="11" xfId="5" applyNumberFormat="1" applyBorder="1" applyAlignment="1">
      <alignment horizontal="center" vertical="center"/>
    </xf>
    <xf numFmtId="0" fontId="24" fillId="0" borderId="6" xfId="0" applyFont="1" applyBorder="1" applyAlignment="1">
      <alignment horizontal="left" vertical="center"/>
    </xf>
    <xf numFmtId="9" fontId="25" fillId="0" borderId="11" xfId="1" applyFont="1" applyFill="1" applyBorder="1" applyAlignment="1">
      <alignment horizontal="center" vertical="center"/>
    </xf>
    <xf numFmtId="164" fontId="25" fillId="0" borderId="11" xfId="0" applyNumberFormat="1" applyFont="1" applyBorder="1" applyAlignment="1">
      <alignment horizontal="center" vertical="center"/>
    </xf>
    <xf numFmtId="1" fontId="25" fillId="0" borderId="11" xfId="0" quotePrefix="1" applyNumberFormat="1" applyFont="1" applyBorder="1" applyAlignment="1">
      <alignment horizontal="center" vertical="center"/>
    </xf>
    <xf numFmtId="9" fontId="25" fillId="0" borderId="11" xfId="1" quotePrefix="1" applyFont="1" applyFill="1" applyBorder="1" applyAlignment="1">
      <alignment horizontal="center" vertical="center"/>
    </xf>
    <xf numFmtId="10" fontId="25" fillId="0" borderId="11" xfId="0" applyNumberFormat="1" applyFont="1" applyBorder="1" applyAlignment="1">
      <alignment horizontal="center" vertical="center"/>
    </xf>
    <xf numFmtId="2" fontId="15" fillId="13" borderId="11" xfId="5" applyNumberFormat="1" applyBorder="1" applyAlignment="1">
      <alignment horizontal="center" vertical="center"/>
    </xf>
    <xf numFmtId="0" fontId="24" fillId="8" borderId="19" xfId="0" applyFont="1" applyFill="1" applyBorder="1" applyAlignment="1">
      <alignment horizontal="left" vertical="center"/>
    </xf>
    <xf numFmtId="9" fontId="25" fillId="0" borderId="20" xfId="0" applyNumberFormat="1" applyFont="1" applyBorder="1" applyAlignment="1">
      <alignment horizontal="center" vertical="center"/>
    </xf>
    <xf numFmtId="9" fontId="16" fillId="30" borderId="28" xfId="1" applyFont="1" applyFill="1" applyBorder="1" applyAlignment="1">
      <alignment horizontal="center" vertical="center"/>
    </xf>
    <xf numFmtId="9" fontId="16" fillId="20" borderId="32" xfId="1" applyFont="1" applyFill="1" applyBorder="1" applyAlignment="1">
      <alignment horizontal="center" vertical="center"/>
    </xf>
    <xf numFmtId="9" fontId="16" fillId="30" borderId="30" xfId="1" applyFont="1" applyFill="1" applyBorder="1" applyAlignment="1">
      <alignment horizontal="center" vertical="center"/>
    </xf>
    <xf numFmtId="9" fontId="16" fillId="20" borderId="33" xfId="1" applyFont="1" applyFill="1" applyBorder="1" applyAlignment="1">
      <alignment horizontal="center" vertical="center"/>
    </xf>
    <xf numFmtId="1" fontId="16" fillId="31" borderId="37" xfId="0" applyNumberFormat="1" applyFont="1" applyFill="1" applyBorder="1" applyAlignment="1">
      <alignment horizontal="center" vertical="center"/>
    </xf>
    <xf numFmtId="1" fontId="16" fillId="20" borderId="26" xfId="1" applyNumberFormat="1" applyFont="1" applyFill="1" applyBorder="1" applyAlignment="1">
      <alignment horizontal="center" vertical="center"/>
    </xf>
    <xf numFmtId="1" fontId="16" fillId="30" borderId="37" xfId="6" applyNumberFormat="1" applyFont="1" applyFill="1" applyBorder="1" applyAlignment="1">
      <alignment horizontal="center" vertical="center"/>
    </xf>
    <xf numFmtId="9" fontId="16" fillId="20" borderId="37" xfId="1" applyFont="1" applyFill="1" applyBorder="1" applyAlignment="1">
      <alignment horizontal="center" vertical="center"/>
    </xf>
    <xf numFmtId="0" fontId="0" fillId="0" borderId="0" xfId="0" pivotButton="1"/>
    <xf numFmtId="10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left"/>
    </xf>
    <xf numFmtId="0" fontId="7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5" fillId="0" borderId="5" xfId="5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5" fillId="0" borderId="7" xfId="5" applyFill="1" applyBorder="1" applyAlignment="1">
      <alignment horizontal="center" vertical="center"/>
    </xf>
    <xf numFmtId="0" fontId="7" fillId="0" borderId="6" xfId="0" quotePrefix="1" applyFont="1" applyBorder="1" applyAlignment="1">
      <alignment horizontal="center" vertical="center"/>
    </xf>
    <xf numFmtId="0" fontId="7" fillId="0" borderId="7" xfId="0" quotePrefix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0" fontId="13" fillId="0" borderId="6" xfId="4" applyNumberFormat="1" applyFill="1" applyBorder="1" applyAlignment="1">
      <alignment horizontal="center" vertical="center"/>
    </xf>
    <xf numFmtId="0" fontId="13" fillId="0" borderId="7" xfId="4" applyFill="1" applyBorder="1" applyAlignment="1">
      <alignment horizontal="center" vertical="center"/>
    </xf>
    <xf numFmtId="9" fontId="3" fillId="0" borderId="19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13" fillId="0" borderId="11" xfId="4" applyFill="1" applyBorder="1" applyAlignment="1">
      <alignment horizontal="center" vertical="center"/>
    </xf>
    <xf numFmtId="0" fontId="7" fillId="0" borderId="10" xfId="0" quotePrefix="1" applyFont="1" applyBorder="1" applyAlignment="1">
      <alignment horizontal="center" vertical="center"/>
    </xf>
    <xf numFmtId="0" fontId="15" fillId="0" borderId="11" xfId="5" applyFill="1" applyBorder="1" applyAlignment="1">
      <alignment horizontal="center" vertical="center"/>
    </xf>
    <xf numFmtId="9" fontId="8" fillId="0" borderId="10" xfId="0" quotePrefix="1" applyNumberFormat="1" applyFont="1" applyBorder="1" applyAlignment="1">
      <alignment horizontal="center" vertical="center"/>
    </xf>
    <xf numFmtId="9" fontId="8" fillId="0" borderId="6" xfId="0" quotePrefix="1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13" fillId="0" borderId="6" xfId="4" applyNumberFormat="1" applyFill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9" fontId="8" fillId="0" borderId="7" xfId="0" applyNumberFormat="1" applyFont="1" applyBorder="1" applyAlignment="1">
      <alignment horizontal="center" vertical="center"/>
    </xf>
    <xf numFmtId="0" fontId="13" fillId="0" borderId="10" xfId="4" applyFill="1" applyBorder="1" applyAlignment="1">
      <alignment horizontal="center" vertical="center"/>
    </xf>
    <xf numFmtId="2" fontId="3" fillId="23" borderId="11" xfId="0" applyNumberFormat="1" applyFont="1" applyFill="1" applyBorder="1" applyAlignment="1">
      <alignment horizontal="center" vertical="center"/>
    </xf>
    <xf numFmtId="10" fontId="3" fillId="23" borderId="11" xfId="0" quotePrefix="1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2" fontId="7" fillId="2" borderId="11" xfId="0" applyNumberFormat="1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2" fontId="7" fillId="2" borderId="7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3" fillId="2" borderId="6" xfId="4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23" fillId="2" borderId="10" xfId="4" applyNumberFormat="1" applyFont="1" applyFill="1" applyBorder="1" applyAlignment="1">
      <alignment horizontal="center" vertical="center"/>
    </xf>
    <xf numFmtId="0" fontId="23" fillId="2" borderId="6" xfId="4" applyNumberFormat="1" applyFont="1" applyFill="1" applyBorder="1" applyAlignment="1">
      <alignment horizontal="center" vertical="center"/>
    </xf>
    <xf numFmtId="0" fontId="23" fillId="2" borderId="6" xfId="4" quotePrefix="1" applyFont="1" applyFill="1" applyBorder="1" applyAlignment="1">
      <alignment horizontal="center" vertical="center"/>
    </xf>
    <xf numFmtId="0" fontId="23" fillId="2" borderId="7" xfId="4" applyFont="1" applyFill="1" applyBorder="1" applyAlignment="1">
      <alignment horizontal="center" vertical="center"/>
    </xf>
    <xf numFmtId="2" fontId="12" fillId="24" borderId="17" xfId="0" quotePrefix="1" applyNumberFormat="1" applyFont="1" applyFill="1" applyBorder="1" applyAlignment="1">
      <alignment horizontal="center" vertical="center"/>
    </xf>
    <xf numFmtId="1" fontId="15" fillId="0" borderId="13" xfId="5" applyNumberFormat="1" applyFill="1" applyBorder="1" applyAlignment="1">
      <alignment horizontal="center" vertical="center" wrapText="1"/>
    </xf>
    <xf numFmtId="1" fontId="15" fillId="0" borderId="11" xfId="5" applyNumberFormat="1" applyFill="1" applyBorder="1" applyAlignment="1">
      <alignment horizontal="center" vertical="center"/>
    </xf>
    <xf numFmtId="2" fontId="15" fillId="0" borderId="11" xfId="5" applyNumberFormat="1" applyFill="1" applyBorder="1" applyAlignment="1">
      <alignment horizontal="center" vertical="center"/>
    </xf>
    <xf numFmtId="1" fontId="15" fillId="0" borderId="11" xfId="5" quotePrefix="1" applyNumberFormat="1" applyFill="1" applyBorder="1" applyAlignment="1">
      <alignment horizontal="center" vertical="center"/>
    </xf>
    <xf numFmtId="10" fontId="3" fillId="24" borderId="17" xfId="0" applyNumberFormat="1" applyFont="1" applyFill="1" applyBorder="1" applyAlignment="1">
      <alignment horizontal="center" vertical="center"/>
    </xf>
    <xf numFmtId="10" fontId="8" fillId="0" borderId="10" xfId="0" quotePrefix="1" applyNumberFormat="1" applyFont="1" applyBorder="1" applyAlignment="1">
      <alignment horizontal="center" vertical="center"/>
    </xf>
    <xf numFmtId="10" fontId="8" fillId="0" borderId="6" xfId="0" quotePrefix="1" applyNumberFormat="1" applyFont="1" applyBorder="1" applyAlignment="1">
      <alignment horizontal="center" vertical="center"/>
    </xf>
    <xf numFmtId="10" fontId="8" fillId="0" borderId="6" xfId="0" applyNumberFormat="1" applyFont="1" applyBorder="1" applyAlignment="1">
      <alignment horizontal="center" vertical="center"/>
    </xf>
    <xf numFmtId="10" fontId="8" fillId="0" borderId="7" xfId="0" applyNumberFormat="1" applyFont="1" applyBorder="1" applyAlignment="1">
      <alignment horizontal="center" vertical="center"/>
    </xf>
    <xf numFmtId="1" fontId="6" fillId="0" borderId="10" xfId="0" quotePrefix="1" applyNumberFormat="1" applyFont="1" applyBorder="1" applyAlignment="1">
      <alignment horizontal="center" vertical="center"/>
    </xf>
    <xf numFmtId="2" fontId="16" fillId="33" borderId="28" xfId="0" applyNumberFormat="1" applyFont="1" applyFill="1" applyBorder="1" applyAlignment="1">
      <alignment horizontal="center" vertical="center"/>
    </xf>
    <xf numFmtId="2" fontId="29" fillId="0" borderId="41" xfId="0" applyNumberFormat="1" applyFont="1" applyBorder="1" applyAlignment="1">
      <alignment horizontal="center" vertical="center"/>
    </xf>
    <xf numFmtId="2" fontId="3" fillId="34" borderId="17" xfId="0" quotePrefix="1" applyNumberFormat="1" applyFont="1" applyFill="1" applyBorder="1" applyAlignment="1">
      <alignment horizontal="center" vertical="center"/>
    </xf>
    <xf numFmtId="0" fontId="13" fillId="11" borderId="6" xfId="4" applyBorder="1" applyAlignment="1">
      <alignment horizontal="center" vertical="center"/>
    </xf>
    <xf numFmtId="1" fontId="13" fillId="11" borderId="6" xfId="4" applyNumberFormat="1" applyBorder="1" applyAlignment="1">
      <alignment horizontal="center" vertical="center"/>
    </xf>
    <xf numFmtId="1" fontId="15" fillId="13" borderId="6" xfId="5" quotePrefix="1" applyNumberFormat="1" applyBorder="1" applyAlignment="1">
      <alignment horizontal="center" vertical="center"/>
    </xf>
    <xf numFmtId="2" fontId="7" fillId="2" borderId="41" xfId="0" applyNumberFormat="1" applyFont="1" applyFill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9" fontId="24" fillId="0" borderId="43" xfId="0" applyNumberFormat="1" applyFont="1" applyBorder="1" applyAlignment="1">
      <alignment horizontal="center" vertical="center" wrapText="1"/>
    </xf>
    <xf numFmtId="9" fontId="24" fillId="0" borderId="42" xfId="0" applyNumberFormat="1" applyFont="1" applyBorder="1" applyAlignment="1">
      <alignment horizontal="center" vertical="center" wrapText="1"/>
    </xf>
    <xf numFmtId="0" fontId="11" fillId="27" borderId="44" xfId="0" applyFont="1" applyFill="1" applyBorder="1" applyAlignment="1">
      <alignment horizontal="left" vertical="center" wrapText="1"/>
    </xf>
    <xf numFmtId="0" fontId="11" fillId="27" borderId="45" xfId="0" applyFont="1" applyFill="1" applyBorder="1" applyAlignment="1">
      <alignment horizontal="left" vertical="center" wrapText="1"/>
    </xf>
    <xf numFmtId="1" fontId="15" fillId="13" borderId="4" xfId="5" applyNumberFormat="1" applyBorder="1" applyAlignment="1">
      <alignment horizontal="center" vertical="center" wrapText="1"/>
    </xf>
    <xf numFmtId="1" fontId="15" fillId="13" borderId="6" xfId="5" applyNumberFormat="1" applyBorder="1" applyAlignment="1">
      <alignment horizontal="center" vertical="center"/>
    </xf>
    <xf numFmtId="1" fontId="15" fillId="0" borderId="6" xfId="5" applyNumberFormat="1" applyFill="1" applyBorder="1" applyAlignment="1">
      <alignment horizontal="center" vertical="center"/>
    </xf>
    <xf numFmtId="1" fontId="25" fillId="0" borderId="6" xfId="0" applyNumberFormat="1" applyFont="1" applyBorder="1" applyAlignment="1">
      <alignment horizontal="center" vertical="center"/>
    </xf>
    <xf numFmtId="9" fontId="25" fillId="0" borderId="6" xfId="1" applyFont="1" applyFill="1" applyBorder="1" applyAlignment="1">
      <alignment horizontal="center" vertical="center"/>
    </xf>
    <xf numFmtId="164" fontId="25" fillId="0" borderId="6" xfId="0" applyNumberFormat="1" applyFont="1" applyBorder="1" applyAlignment="1">
      <alignment horizontal="center" vertical="center"/>
    </xf>
    <xf numFmtId="1" fontId="25" fillId="0" borderId="6" xfId="0" quotePrefix="1" applyNumberFormat="1" applyFont="1" applyBorder="1" applyAlignment="1">
      <alignment horizontal="center" vertical="center"/>
    </xf>
    <xf numFmtId="9" fontId="25" fillId="0" borderId="6" xfId="1" quotePrefix="1" applyFont="1" applyFill="1" applyBorder="1" applyAlignment="1">
      <alignment horizontal="center" vertical="center"/>
    </xf>
    <xf numFmtId="2" fontId="15" fillId="13" borderId="6" xfId="5" applyNumberFormat="1" applyBorder="1" applyAlignment="1">
      <alignment horizontal="center" vertical="center"/>
    </xf>
    <xf numFmtId="1" fontId="15" fillId="0" borderId="6" xfId="5" quotePrefix="1" applyNumberFormat="1" applyFill="1" applyBorder="1" applyAlignment="1">
      <alignment horizontal="center" vertical="center"/>
    </xf>
    <xf numFmtId="10" fontId="25" fillId="0" borderId="6" xfId="0" applyNumberFormat="1" applyFont="1" applyBorder="1" applyAlignment="1">
      <alignment horizontal="center" vertical="center"/>
    </xf>
    <xf numFmtId="9" fontId="25" fillId="0" borderId="19" xfId="0" applyNumberFormat="1" applyFont="1" applyBorder="1" applyAlignment="1">
      <alignment horizontal="center" vertical="center"/>
    </xf>
    <xf numFmtId="9" fontId="25" fillId="0" borderId="11" xfId="0" applyNumberFormat="1" applyFont="1" applyBorder="1" applyAlignment="1">
      <alignment horizontal="center" vertical="center"/>
    </xf>
    <xf numFmtId="9" fontId="25" fillId="0" borderId="6" xfId="0" applyNumberFormat="1" applyFont="1" applyBorder="1" applyAlignment="1">
      <alignment horizontal="center" vertical="center"/>
    </xf>
    <xf numFmtId="0" fontId="16" fillId="0" borderId="0" xfId="0" applyFont="1"/>
    <xf numFmtId="1" fontId="12" fillId="24" borderId="17" xfId="0" applyNumberFormat="1" applyFont="1" applyFill="1" applyBorder="1" applyAlignment="1">
      <alignment horizontal="center" vertical="center" wrapText="1"/>
    </xf>
    <xf numFmtId="9" fontId="3" fillId="23" borderId="43" xfId="0" applyNumberFormat="1" applyFont="1" applyFill="1" applyBorder="1" applyAlignment="1">
      <alignment horizontal="center" vertical="center"/>
    </xf>
    <xf numFmtId="1" fontId="3" fillId="24" borderId="46" xfId="0" applyNumberFormat="1" applyFont="1" applyFill="1" applyBorder="1" applyAlignment="1">
      <alignment horizontal="center" vertical="center"/>
    </xf>
    <xf numFmtId="0" fontId="15" fillId="2" borderId="47" xfId="5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15" fillId="2" borderId="42" xfId="5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15" fillId="2" borderId="42" xfId="5" quotePrefix="1" applyFill="1" applyBorder="1" applyAlignment="1">
      <alignment horizontal="center" vertical="center"/>
    </xf>
    <xf numFmtId="0" fontId="15" fillId="2" borderId="48" xfId="5" applyFill="1" applyBorder="1" applyAlignment="1">
      <alignment horizontal="center" vertical="center"/>
    </xf>
    <xf numFmtId="9" fontId="7" fillId="0" borderId="49" xfId="1" quotePrefix="1" applyFont="1" applyFill="1" applyBorder="1" applyAlignment="1">
      <alignment horizontal="center" vertical="center"/>
    </xf>
    <xf numFmtId="0" fontId="16" fillId="36" borderId="27" xfId="0" applyFont="1" applyFill="1" applyBorder="1" applyAlignment="1">
      <alignment horizontal="right" vertical="center"/>
    </xf>
    <xf numFmtId="2" fontId="16" fillId="37" borderId="28" xfId="0" applyNumberFormat="1" applyFont="1" applyFill="1" applyBorder="1" applyAlignment="1">
      <alignment horizontal="center" vertical="center"/>
    </xf>
    <xf numFmtId="0" fontId="16" fillId="36" borderId="30" xfId="0" applyFont="1" applyFill="1" applyBorder="1"/>
    <xf numFmtId="0" fontId="16" fillId="36" borderId="27" xfId="0" applyFont="1" applyFill="1" applyBorder="1" applyAlignment="1">
      <alignment horizontal="center" vertical="center"/>
    </xf>
    <xf numFmtId="0" fontId="16" fillId="36" borderId="31" xfId="0" applyFont="1" applyFill="1" applyBorder="1" applyAlignment="1">
      <alignment horizontal="right" vertical="center"/>
    </xf>
    <xf numFmtId="2" fontId="16" fillId="36" borderId="32" xfId="0" applyNumberFormat="1" applyFont="1" applyFill="1" applyBorder="1" applyAlignment="1">
      <alignment horizontal="center" vertical="center"/>
    </xf>
    <xf numFmtId="0" fontId="0" fillId="36" borderId="33" xfId="0" applyFill="1" applyBorder="1"/>
    <xf numFmtId="0" fontId="16" fillId="36" borderId="31" xfId="0" applyFon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0" fillId="38" borderId="57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" fontId="16" fillId="37" borderId="62" xfId="0" applyNumberFormat="1" applyFont="1" applyFill="1" applyBorder="1" applyAlignment="1">
      <alignment horizontal="center" vertical="center"/>
    </xf>
    <xf numFmtId="1" fontId="16" fillId="36" borderId="66" xfId="0" applyNumberFormat="1" applyFont="1" applyFill="1" applyBorder="1" applyAlignment="1">
      <alignment horizontal="center" vertical="center"/>
    </xf>
    <xf numFmtId="1" fontId="16" fillId="37" borderId="64" xfId="0" applyNumberFormat="1" applyFont="1" applyFill="1" applyBorder="1" applyAlignment="1">
      <alignment horizontal="center" vertical="center"/>
    </xf>
    <xf numFmtId="1" fontId="16" fillId="36" borderId="68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 wrapText="1"/>
    </xf>
    <xf numFmtId="9" fontId="34" fillId="13" borderId="28" xfId="5" applyNumberFormat="1" applyFont="1" applyBorder="1" applyAlignment="1">
      <alignment horizontal="center" vertical="center"/>
    </xf>
    <xf numFmtId="9" fontId="34" fillId="13" borderId="30" xfId="5" applyNumberFormat="1" applyFont="1" applyBorder="1" applyAlignment="1">
      <alignment horizontal="center" vertical="center"/>
    </xf>
    <xf numFmtId="9" fontId="16" fillId="36" borderId="32" xfId="1" applyFont="1" applyFill="1" applyBorder="1" applyAlignment="1">
      <alignment horizontal="center" vertical="center"/>
    </xf>
    <xf numFmtId="9" fontId="16" fillId="36" borderId="33" xfId="1" applyFont="1" applyFill="1" applyBorder="1" applyAlignment="1">
      <alignment horizontal="center" vertical="center"/>
    </xf>
    <xf numFmtId="0" fontId="33" fillId="39" borderId="69" xfId="7" applyNumberFormat="1" applyAlignment="1">
      <alignment horizontal="center" vertical="center" wrapText="1"/>
    </xf>
    <xf numFmtId="0" fontId="13" fillId="11" borderId="10" xfId="4" applyBorder="1" applyAlignment="1">
      <alignment horizontal="center" vertical="center"/>
    </xf>
    <xf numFmtId="0" fontId="15" fillId="13" borderId="10" xfId="5" quotePrefix="1" applyBorder="1" applyAlignment="1">
      <alignment horizontal="center" vertical="center"/>
    </xf>
    <xf numFmtId="0" fontId="15" fillId="13" borderId="6" xfId="5" quotePrefix="1" applyBorder="1" applyAlignment="1">
      <alignment horizontal="center" vertical="center"/>
    </xf>
    <xf numFmtId="0" fontId="15" fillId="13" borderId="6" xfId="5" applyBorder="1" applyAlignment="1">
      <alignment horizontal="center" vertical="center"/>
    </xf>
    <xf numFmtId="0" fontId="16" fillId="36" borderId="27" xfId="0" applyFont="1" applyFill="1" applyBorder="1" applyAlignment="1">
      <alignment horizontal="right"/>
    </xf>
    <xf numFmtId="0" fontId="16" fillId="36" borderId="31" xfId="0" applyFont="1" applyFill="1" applyBorder="1" applyAlignment="1">
      <alignment horizontal="right"/>
    </xf>
    <xf numFmtId="0" fontId="14" fillId="6" borderId="3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4" fillId="7" borderId="12" xfId="2" applyFont="1" applyFill="1" applyBorder="1" applyAlignment="1" applyProtection="1">
      <alignment horizontal="left" vertical="center"/>
    </xf>
    <xf numFmtId="0" fontId="4" fillId="7" borderId="8" xfId="2" applyFont="1" applyFill="1" applyBorder="1" applyAlignment="1" applyProtection="1">
      <alignment horizontal="left" vertical="center"/>
    </xf>
    <xf numFmtId="0" fontId="4" fillId="7" borderId="9" xfId="2" applyFont="1" applyFill="1" applyBorder="1" applyAlignment="1" applyProtection="1">
      <alignment horizontal="left" vertical="center"/>
    </xf>
    <xf numFmtId="0" fontId="4" fillId="6" borderId="12" xfId="2" applyFont="1" applyFill="1" applyBorder="1" applyAlignment="1" applyProtection="1">
      <alignment horizontal="left" vertical="center"/>
    </xf>
    <xf numFmtId="0" fontId="4" fillId="6" borderId="8" xfId="2" applyFont="1" applyFill="1" applyBorder="1" applyAlignment="1" applyProtection="1">
      <alignment horizontal="left" vertical="center"/>
    </xf>
    <xf numFmtId="0" fontId="4" fillId="6" borderId="9" xfId="2" applyFont="1" applyFill="1" applyBorder="1" applyAlignment="1" applyProtection="1">
      <alignment horizontal="left" vertical="center"/>
    </xf>
    <xf numFmtId="0" fontId="4" fillId="10" borderId="12" xfId="0" applyFont="1" applyFill="1" applyBorder="1" applyAlignment="1">
      <alignment horizontal="left" vertical="center"/>
    </xf>
    <xf numFmtId="0" fontId="4" fillId="10" borderId="8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3" fillId="4" borderId="12" xfId="2" applyFont="1" applyFill="1" applyBorder="1" applyAlignment="1" applyProtection="1">
      <alignment horizontal="left" vertical="center"/>
    </xf>
    <xf numFmtId="0" fontId="3" fillId="4" borderId="8" xfId="2" applyFont="1" applyFill="1" applyBorder="1" applyAlignment="1" applyProtection="1">
      <alignment horizontal="left" vertical="center"/>
    </xf>
    <xf numFmtId="0" fontId="3" fillId="4" borderId="9" xfId="2" applyFont="1" applyFill="1" applyBorder="1" applyAlignment="1" applyProtection="1">
      <alignment horizontal="left" vertical="center"/>
    </xf>
    <xf numFmtId="2" fontId="15" fillId="13" borderId="28" xfId="5" applyNumberFormat="1" applyBorder="1" applyAlignment="1">
      <alignment horizontal="center"/>
    </xf>
    <xf numFmtId="2" fontId="15" fillId="13" borderId="30" xfId="5" applyNumberFormat="1" applyBorder="1" applyAlignment="1">
      <alignment horizontal="center"/>
    </xf>
    <xf numFmtId="2" fontId="16" fillId="36" borderId="32" xfId="0" applyNumberFormat="1" applyFont="1" applyFill="1" applyBorder="1" applyAlignment="1">
      <alignment horizontal="center"/>
    </xf>
    <xf numFmtId="2" fontId="16" fillId="36" borderId="33" xfId="0" applyNumberFormat="1" applyFont="1" applyFill="1" applyBorder="1" applyAlignment="1">
      <alignment horizontal="center"/>
    </xf>
    <xf numFmtId="0" fontId="18" fillId="15" borderId="27" xfId="0" applyFont="1" applyFill="1" applyBorder="1" applyAlignment="1">
      <alignment horizontal="center" vertical="center" wrapText="1"/>
    </xf>
    <xf numFmtId="0" fontId="18" fillId="15" borderId="28" xfId="0" applyFont="1" applyFill="1" applyBorder="1" applyAlignment="1">
      <alignment horizontal="center" vertical="center" wrapText="1"/>
    </xf>
    <xf numFmtId="0" fontId="18" fillId="15" borderId="29" xfId="0" applyFont="1" applyFill="1" applyBorder="1" applyAlignment="1">
      <alignment horizontal="center" vertical="center" wrapText="1"/>
    </xf>
    <xf numFmtId="0" fontId="16" fillId="36" borderId="27" xfId="0" applyFont="1" applyFill="1" applyBorder="1" applyAlignment="1">
      <alignment horizontal="center" vertical="center"/>
    </xf>
    <xf numFmtId="0" fontId="16" fillId="36" borderId="28" xfId="0" applyFont="1" applyFill="1" applyBorder="1" applyAlignment="1">
      <alignment horizontal="center" vertical="center"/>
    </xf>
    <xf numFmtId="0" fontId="16" fillId="36" borderId="31" xfId="0" applyFont="1" applyFill="1" applyBorder="1" applyAlignment="1">
      <alignment horizontal="center" vertical="center"/>
    </xf>
    <xf numFmtId="0" fontId="16" fillId="36" borderId="32" xfId="0" applyFont="1" applyFill="1" applyBorder="1" applyAlignment="1">
      <alignment horizontal="center" vertical="center"/>
    </xf>
    <xf numFmtId="0" fontId="18" fillId="35" borderId="50" xfId="0" applyFont="1" applyFill="1" applyBorder="1" applyAlignment="1">
      <alignment horizontal="center" vertical="center" wrapText="1"/>
    </xf>
    <xf numFmtId="0" fontId="18" fillId="35" borderId="51" xfId="0" applyFont="1" applyFill="1" applyBorder="1" applyAlignment="1">
      <alignment horizontal="center" vertical="center" wrapText="1"/>
    </xf>
    <xf numFmtId="0" fontId="18" fillId="35" borderId="52" xfId="0" applyFont="1" applyFill="1" applyBorder="1" applyAlignment="1">
      <alignment horizontal="center" vertical="center" wrapText="1"/>
    </xf>
    <xf numFmtId="0" fontId="18" fillId="35" borderId="58" xfId="0" applyFont="1" applyFill="1" applyBorder="1" applyAlignment="1">
      <alignment horizontal="center" vertical="center" wrapText="1"/>
    </xf>
    <xf numFmtId="0" fontId="18" fillId="35" borderId="59" xfId="0" applyFont="1" applyFill="1" applyBorder="1" applyAlignment="1">
      <alignment horizontal="center" vertical="center" wrapText="1"/>
    </xf>
    <xf numFmtId="0" fontId="18" fillId="35" borderId="60" xfId="0" applyFont="1" applyFill="1" applyBorder="1" applyAlignment="1">
      <alignment horizontal="center" vertical="center" wrapText="1"/>
    </xf>
    <xf numFmtId="0" fontId="16" fillId="36" borderId="63" xfId="0" applyFont="1" applyFill="1" applyBorder="1" applyAlignment="1">
      <alignment horizontal="center" vertical="center"/>
    </xf>
    <xf numFmtId="0" fontId="16" fillId="36" borderId="62" xfId="0" applyFont="1" applyFill="1" applyBorder="1" applyAlignment="1">
      <alignment horizontal="center" vertical="center"/>
    </xf>
    <xf numFmtId="0" fontId="16" fillId="36" borderId="67" xfId="0" applyFont="1" applyFill="1" applyBorder="1" applyAlignment="1">
      <alignment horizontal="center" vertical="center"/>
    </xf>
    <xf numFmtId="0" fontId="16" fillId="36" borderId="66" xfId="0" applyFont="1" applyFill="1" applyBorder="1" applyAlignment="1">
      <alignment horizontal="center" vertical="center"/>
    </xf>
    <xf numFmtId="0" fontId="16" fillId="36" borderId="61" xfId="0" applyFont="1" applyFill="1" applyBorder="1" applyAlignment="1">
      <alignment horizontal="center" vertical="center"/>
    </xf>
    <xf numFmtId="0" fontId="16" fillId="36" borderId="65" xfId="0" applyFont="1" applyFill="1" applyBorder="1" applyAlignment="1">
      <alignment horizontal="center" vertical="center"/>
    </xf>
    <xf numFmtId="0" fontId="19" fillId="16" borderId="27" xfId="0" applyFont="1" applyFill="1" applyBorder="1" applyAlignment="1">
      <alignment horizontal="center" vertical="center" wrapText="1"/>
    </xf>
    <xf numFmtId="0" fontId="19" fillId="16" borderId="2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14" borderId="25" xfId="0" applyFont="1" applyFill="1" applyBorder="1" applyAlignment="1">
      <alignment horizontal="left" vertical="center" indent="1"/>
    </xf>
    <xf numFmtId="0" fontId="17" fillId="14" borderId="26" xfId="0" applyFont="1" applyFill="1" applyBorder="1" applyAlignment="1">
      <alignment horizontal="left" vertical="center" indent="1"/>
    </xf>
    <xf numFmtId="0" fontId="4" fillId="15" borderId="27" xfId="0" applyFont="1" applyFill="1" applyBorder="1" applyAlignment="1">
      <alignment horizontal="center" vertical="center" wrapText="1"/>
    </xf>
    <xf numFmtId="0" fontId="4" fillId="15" borderId="28" xfId="0" applyFont="1" applyFill="1" applyBorder="1" applyAlignment="1">
      <alignment horizontal="center" vertical="center" wrapText="1"/>
    </xf>
    <xf numFmtId="0" fontId="4" fillId="15" borderId="29" xfId="0" applyFont="1" applyFill="1" applyBorder="1" applyAlignment="1">
      <alignment horizontal="center" vertical="center" wrapText="1"/>
    </xf>
    <xf numFmtId="0" fontId="18" fillId="19" borderId="25" xfId="0" applyFont="1" applyFill="1" applyBorder="1" applyAlignment="1">
      <alignment horizontal="center" vertical="center" wrapText="1"/>
    </xf>
    <xf numFmtId="0" fontId="18" fillId="19" borderId="26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8" fillId="19" borderId="27" xfId="0" applyFont="1" applyFill="1" applyBorder="1" applyAlignment="1">
      <alignment horizontal="center" vertical="center" wrapText="1"/>
    </xf>
    <xf numFmtId="0" fontId="18" fillId="19" borderId="28" xfId="0" applyFont="1" applyFill="1" applyBorder="1" applyAlignment="1">
      <alignment horizontal="center" vertical="center" wrapText="1"/>
    </xf>
    <xf numFmtId="0" fontId="18" fillId="19" borderId="30" xfId="0" applyFont="1" applyFill="1" applyBorder="1" applyAlignment="1">
      <alignment horizontal="center" vertical="center" wrapText="1"/>
    </xf>
    <xf numFmtId="0" fontId="16" fillId="20" borderId="25" xfId="0" applyFont="1" applyFill="1" applyBorder="1" applyAlignment="1">
      <alignment horizontal="center" vertical="center"/>
    </xf>
    <xf numFmtId="0" fontId="16" fillId="20" borderId="26" xfId="0" applyFont="1" applyFill="1" applyBorder="1" applyAlignment="1">
      <alignment horizontal="center" vertical="center"/>
    </xf>
    <xf numFmtId="0" fontId="16" fillId="20" borderId="27" xfId="0" applyFont="1" applyFill="1" applyBorder="1" applyAlignment="1">
      <alignment horizontal="center" vertical="center"/>
    </xf>
    <xf numFmtId="0" fontId="16" fillId="20" borderId="28" xfId="0" applyFont="1" applyFill="1" applyBorder="1" applyAlignment="1">
      <alignment horizontal="center" vertical="center"/>
    </xf>
    <xf numFmtId="0" fontId="20" fillId="10" borderId="25" xfId="0" applyFont="1" applyFill="1" applyBorder="1" applyAlignment="1">
      <alignment horizontal="left" vertical="center" indent="1"/>
    </xf>
    <xf numFmtId="0" fontId="20" fillId="10" borderId="26" xfId="0" applyFont="1" applyFill="1" applyBorder="1" applyAlignment="1">
      <alignment horizontal="left" vertical="center" indent="1"/>
    </xf>
    <xf numFmtId="0" fontId="19" fillId="16" borderId="34" xfId="0" applyFont="1" applyFill="1" applyBorder="1" applyAlignment="1">
      <alignment horizontal="right" vertical="center" wrapText="1"/>
    </xf>
    <xf numFmtId="0" fontId="19" fillId="16" borderId="0" xfId="0" applyFont="1" applyFill="1" applyAlignment="1">
      <alignment horizontal="right" vertical="center" wrapText="1"/>
    </xf>
    <xf numFmtId="0" fontId="19" fillId="16" borderId="0" xfId="0" applyFont="1" applyFill="1" applyAlignment="1">
      <alignment horizontal="center" vertical="center" wrapText="1"/>
    </xf>
    <xf numFmtId="0" fontId="19" fillId="16" borderId="31" xfId="0" applyFont="1" applyFill="1" applyBorder="1" applyAlignment="1">
      <alignment horizontal="right" vertical="center" wrapText="1"/>
    </xf>
    <xf numFmtId="0" fontId="19" fillId="16" borderId="32" xfId="0" applyFont="1" applyFill="1" applyBorder="1" applyAlignment="1">
      <alignment horizontal="right" vertical="center" wrapText="1"/>
    </xf>
    <xf numFmtId="0" fontId="19" fillId="16" borderId="32" xfId="0" applyFont="1" applyFill="1" applyBorder="1" applyAlignment="1">
      <alignment horizontal="center" vertical="center" wrapText="1"/>
    </xf>
    <xf numFmtId="0" fontId="17" fillId="7" borderId="34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6" fillId="20" borderId="31" xfId="0" applyFont="1" applyFill="1" applyBorder="1" applyAlignment="1">
      <alignment horizontal="center" vertical="center"/>
    </xf>
    <xf numFmtId="0" fontId="16" fillId="20" borderId="32" xfId="0" applyFont="1" applyFill="1" applyBorder="1" applyAlignment="1">
      <alignment horizontal="center" vertical="center"/>
    </xf>
    <xf numFmtId="0" fontId="28" fillId="32" borderId="25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37" xfId="0" applyFont="1" applyFill="1" applyBorder="1" applyAlignment="1">
      <alignment horizontal="center" vertical="center" wrapText="1"/>
    </xf>
    <xf numFmtId="0" fontId="18" fillId="26" borderId="25" xfId="0" applyFont="1" applyFill="1" applyBorder="1" applyAlignment="1">
      <alignment horizontal="center" vertical="center" wrapText="1"/>
    </xf>
    <xf numFmtId="0" fontId="18" fillId="26" borderId="26" xfId="0" applyFont="1" applyFill="1" applyBorder="1" applyAlignment="1">
      <alignment horizontal="center" vertical="center" wrapText="1"/>
    </xf>
    <xf numFmtId="0" fontId="18" fillId="26" borderId="36" xfId="0" applyFont="1" applyFill="1" applyBorder="1" applyAlignment="1">
      <alignment horizontal="center" vertical="center" wrapText="1"/>
    </xf>
    <xf numFmtId="0" fontId="18" fillId="26" borderId="27" xfId="0" applyFont="1" applyFill="1" applyBorder="1" applyAlignment="1">
      <alignment horizontal="center" vertical="center" wrapText="1"/>
    </xf>
    <xf numFmtId="0" fontId="18" fillId="26" borderId="28" xfId="0" applyFont="1" applyFill="1" applyBorder="1" applyAlignment="1">
      <alignment horizontal="center" vertical="center" wrapText="1"/>
    </xf>
    <xf numFmtId="0" fontId="16" fillId="22" borderId="25" xfId="0" applyFont="1" applyFill="1" applyBorder="1" applyAlignment="1">
      <alignment horizontal="center"/>
    </xf>
    <xf numFmtId="0" fontId="16" fillId="22" borderId="26" xfId="0" applyFont="1" applyFill="1" applyBorder="1" applyAlignment="1">
      <alignment horizontal="center"/>
    </xf>
    <xf numFmtId="0" fontId="18" fillId="28" borderId="25" xfId="0" applyFont="1" applyFill="1" applyBorder="1" applyAlignment="1">
      <alignment horizontal="center" vertical="center" wrapText="1"/>
    </xf>
    <xf numFmtId="0" fontId="18" fillId="28" borderId="26" xfId="0" applyFont="1" applyFill="1" applyBorder="1" applyAlignment="1">
      <alignment horizontal="center" vertical="center" wrapText="1"/>
    </xf>
    <xf numFmtId="0" fontId="18" fillId="28" borderId="36" xfId="0" applyFont="1" applyFill="1" applyBorder="1" applyAlignment="1">
      <alignment horizontal="center" vertical="center" wrapText="1"/>
    </xf>
    <xf numFmtId="0" fontId="16" fillId="22" borderId="38" xfId="0" applyFont="1" applyFill="1" applyBorder="1" applyAlignment="1">
      <alignment horizontal="center"/>
    </xf>
    <xf numFmtId="0" fontId="21" fillId="5" borderId="39" xfId="2" applyFont="1" applyFill="1" applyBorder="1" applyAlignment="1" applyProtection="1">
      <alignment horizontal="left" vertical="center" indent="1"/>
    </xf>
    <xf numFmtId="0" fontId="21" fillId="5" borderId="0" xfId="2" applyFont="1" applyFill="1" applyBorder="1" applyAlignment="1" applyProtection="1">
      <alignment horizontal="left" vertical="center" indent="1"/>
    </xf>
    <xf numFmtId="0" fontId="4" fillId="5" borderId="39" xfId="2" applyFont="1" applyFill="1" applyBorder="1" applyAlignment="1" applyProtection="1">
      <alignment horizontal="center" vertical="center"/>
    </xf>
    <xf numFmtId="0" fontId="4" fillId="5" borderId="0" xfId="2" applyFont="1" applyFill="1" applyBorder="1" applyAlignment="1" applyProtection="1">
      <alignment horizontal="center" vertical="center"/>
    </xf>
    <xf numFmtId="0" fontId="18" fillId="35" borderId="53" xfId="0" applyFont="1" applyFill="1" applyBorder="1" applyAlignment="1">
      <alignment horizontal="center" vertical="center" wrapText="1"/>
    </xf>
    <xf numFmtId="0" fontId="18" fillId="35" borderId="54" xfId="0" applyFont="1" applyFill="1" applyBorder="1" applyAlignment="1">
      <alignment horizontal="center" vertical="center" wrapText="1"/>
    </xf>
    <xf numFmtId="0" fontId="18" fillId="35" borderId="55" xfId="0" applyFont="1" applyFill="1" applyBorder="1" applyAlignment="1">
      <alignment horizontal="center" vertical="center" wrapText="1"/>
    </xf>
    <xf numFmtId="0" fontId="21" fillId="27" borderId="25" xfId="2" applyFont="1" applyFill="1" applyBorder="1" applyAlignment="1" applyProtection="1">
      <alignment horizontal="left" vertical="center" indent="1"/>
    </xf>
    <xf numFmtId="0" fontId="21" fillId="27" borderId="26" xfId="2" applyFont="1" applyFill="1" applyBorder="1" applyAlignment="1" applyProtection="1">
      <alignment horizontal="left" vertical="center" indent="1"/>
    </xf>
    <xf numFmtId="0" fontId="21" fillId="27" borderId="37" xfId="2" applyFont="1" applyFill="1" applyBorder="1" applyAlignment="1" applyProtection="1">
      <alignment horizontal="left" vertical="center" indent="1"/>
    </xf>
    <xf numFmtId="2" fontId="13" fillId="11" borderId="28" xfId="4" applyNumberFormat="1" applyBorder="1" applyAlignment="1">
      <alignment horizontal="center"/>
    </xf>
    <xf numFmtId="2" fontId="13" fillId="11" borderId="30" xfId="4" applyNumberFormat="1" applyBorder="1" applyAlignment="1">
      <alignment horizontal="center"/>
    </xf>
    <xf numFmtId="0" fontId="3" fillId="25" borderId="25" xfId="0" applyFont="1" applyFill="1" applyBorder="1" applyAlignment="1">
      <alignment horizontal="center" vertical="center" wrapText="1"/>
    </xf>
    <xf numFmtId="0" fontId="3" fillId="25" borderId="26" xfId="0" applyFont="1" applyFill="1" applyBorder="1" applyAlignment="1">
      <alignment horizontal="center" vertical="center" wrapText="1"/>
    </xf>
    <xf numFmtId="0" fontId="3" fillId="25" borderId="36" xfId="0" applyFont="1" applyFill="1" applyBorder="1" applyAlignment="1">
      <alignment horizontal="center" vertical="center" wrapText="1"/>
    </xf>
    <xf numFmtId="0" fontId="22" fillId="4" borderId="25" xfId="2" applyFont="1" applyFill="1" applyBorder="1" applyAlignment="1" applyProtection="1">
      <alignment horizontal="left" vertical="center" indent="1"/>
    </xf>
    <xf numFmtId="0" fontId="22" fillId="4" borderId="26" xfId="2" applyFont="1" applyFill="1" applyBorder="1" applyAlignment="1" applyProtection="1">
      <alignment horizontal="left" vertical="center" indent="1"/>
    </xf>
    <xf numFmtId="0" fontId="22" fillId="4" borderId="37" xfId="2" applyFont="1" applyFill="1" applyBorder="1" applyAlignment="1" applyProtection="1">
      <alignment horizontal="left" vertical="center" indent="1"/>
    </xf>
    <xf numFmtId="0" fontId="26" fillId="5" borderId="13" xfId="2" applyFont="1" applyFill="1" applyBorder="1" applyAlignment="1" applyProtection="1">
      <alignment horizontal="left" vertical="center"/>
    </xf>
    <xf numFmtId="0" fontId="26" fillId="5" borderId="40" xfId="2" applyFont="1" applyFill="1" applyBorder="1" applyAlignment="1" applyProtection="1">
      <alignment horizontal="left" vertical="center"/>
    </xf>
    <xf numFmtId="0" fontId="26" fillId="5" borderId="14" xfId="2" applyFont="1" applyFill="1" applyBorder="1" applyAlignment="1" applyProtection="1">
      <alignment horizontal="left" vertical="center"/>
    </xf>
    <xf numFmtId="0" fontId="26" fillId="6" borderId="11" xfId="2" applyFont="1" applyFill="1" applyBorder="1" applyAlignment="1" applyProtection="1">
      <alignment horizontal="left" vertical="center"/>
    </xf>
    <xf numFmtId="0" fontId="26" fillId="6" borderId="8" xfId="2" applyFont="1" applyFill="1" applyBorder="1" applyAlignment="1" applyProtection="1">
      <alignment horizontal="left" vertical="center"/>
    </xf>
    <xf numFmtId="0" fontId="26" fillId="6" borderId="10" xfId="2" applyFont="1" applyFill="1" applyBorder="1" applyAlignment="1" applyProtection="1">
      <alignment horizontal="left" vertical="center"/>
    </xf>
    <xf numFmtId="0" fontId="26" fillId="7" borderId="11" xfId="2" applyFont="1" applyFill="1" applyBorder="1" applyAlignment="1" applyProtection="1">
      <alignment horizontal="left" vertical="center"/>
    </xf>
    <xf numFmtId="0" fontId="26" fillId="7" borderId="8" xfId="2" applyFont="1" applyFill="1" applyBorder="1" applyAlignment="1" applyProtection="1">
      <alignment horizontal="left" vertical="center"/>
    </xf>
    <xf numFmtId="0" fontId="26" fillId="7" borderId="10" xfId="2" applyFont="1" applyFill="1" applyBorder="1" applyAlignment="1" applyProtection="1">
      <alignment horizontal="left" vertical="center"/>
    </xf>
    <xf numFmtId="0" fontId="26" fillId="10" borderId="11" xfId="0" applyFont="1" applyFill="1" applyBorder="1" applyAlignment="1">
      <alignment horizontal="left" vertical="center"/>
    </xf>
    <xf numFmtId="0" fontId="26" fillId="10" borderId="8" xfId="0" applyFont="1" applyFill="1" applyBorder="1" applyAlignment="1">
      <alignment horizontal="left" vertical="center"/>
    </xf>
    <xf numFmtId="0" fontId="26" fillId="10" borderId="10" xfId="0" applyFont="1" applyFill="1" applyBorder="1" applyAlignment="1">
      <alignment horizontal="left" vertical="center"/>
    </xf>
    <xf numFmtId="0" fontId="25" fillId="4" borderId="11" xfId="2" applyFont="1" applyFill="1" applyBorder="1" applyAlignment="1" applyProtection="1">
      <alignment horizontal="left" vertical="center"/>
    </xf>
    <xf numFmtId="0" fontId="25" fillId="4" borderId="8" xfId="2" applyFont="1" applyFill="1" applyBorder="1" applyAlignment="1" applyProtection="1">
      <alignment horizontal="left" vertical="center"/>
    </xf>
    <xf numFmtId="0" fontId="25" fillId="4" borderId="10" xfId="2" applyFont="1" applyFill="1" applyBorder="1" applyAlignment="1" applyProtection="1">
      <alignment horizontal="left" vertical="center"/>
    </xf>
    <xf numFmtId="1" fontId="16" fillId="21" borderId="25" xfId="0" applyNumberFormat="1" applyFont="1" applyFill="1" applyBorder="1" applyAlignment="1">
      <alignment horizontal="center"/>
    </xf>
    <xf numFmtId="1" fontId="16" fillId="21" borderId="26" xfId="0" applyNumberFormat="1" applyFont="1" applyFill="1" applyBorder="1" applyAlignment="1">
      <alignment horizontal="center"/>
    </xf>
    <xf numFmtId="0" fontId="16" fillId="21" borderId="25" xfId="0" applyFont="1" applyFill="1" applyBorder="1" applyAlignment="1">
      <alignment horizontal="center"/>
    </xf>
    <xf numFmtId="0" fontId="16" fillId="21" borderId="26" xfId="0" applyFont="1" applyFill="1" applyBorder="1" applyAlignment="1">
      <alignment horizontal="center"/>
    </xf>
    <xf numFmtId="0" fontId="17" fillId="7" borderId="25" xfId="0" applyFont="1" applyFill="1" applyBorder="1" applyAlignment="1">
      <alignment horizontal="left" vertical="center" indent="1"/>
    </xf>
    <xf numFmtId="0" fontId="17" fillId="7" borderId="26" xfId="0" applyFont="1" applyFill="1" applyBorder="1" applyAlignment="1">
      <alignment horizontal="left" vertical="center" indent="1"/>
    </xf>
    <xf numFmtId="0" fontId="0" fillId="0" borderId="0" xfId="0" applyNumberFormat="1"/>
  </cellXfs>
  <cellStyles count="8">
    <cellStyle name="Calcul" xfId="7" builtinId="22"/>
    <cellStyle name="Insatisfaisant" xfId="4" builtinId="27"/>
    <cellStyle name="Lien hypertexte" xfId="2" builtinId="8"/>
    <cellStyle name="Milliers" xfId="6" builtinId="3"/>
    <cellStyle name="Normal" xfId="0" builtinId="0"/>
    <cellStyle name="Normal 2" xfId="3" xr:uid="{00000000-0005-0000-0000-000007000000}"/>
    <cellStyle name="Pourcentage" xfId="1" builtinId="5"/>
    <cellStyle name="Satisfaisant" xfId="5" builtinId="26"/>
  </cellStyles>
  <dxfs count="3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EB5A0A"/>
      <color rgb="FF00CC00"/>
      <color rgb="FFFFC7CE"/>
      <color rgb="FFFC592C"/>
      <color rgb="FFC6EFCE"/>
      <color rgb="FFFFFFCC"/>
      <color rgb="FF9C6500"/>
      <color rgb="FFFFEB9C"/>
      <color rgb="FF9C0006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'Zoom Indicateurs 2025'!$A$3</c:f>
              <c:strCache>
                <c:ptCount val="1"/>
                <c:pt idx="0">
                  <c:v>Animation sécurité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2025'!$E$3:$P$3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7-4277-BAD7-668CC871BE65}"/>
            </c:ext>
          </c:extLst>
        </c:ser>
        <c:ser>
          <c:idx val="1"/>
          <c:order val="1"/>
          <c:tx>
            <c:strRef>
              <c:f>'Zoom Indicateurs 2025'!$A$4</c:f>
              <c:strCache>
                <c:ptCount val="1"/>
                <c:pt idx="0">
                  <c:v>Fiches d'étonnements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2025'!$E$4:$P$4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7-4277-BAD7-668CC871BE65}"/>
            </c:ext>
          </c:extLst>
        </c:ser>
        <c:ser>
          <c:idx val="2"/>
          <c:order val="2"/>
          <c:tx>
            <c:strRef>
              <c:f>'Zoom Indicateurs 2025'!$A$5</c:f>
              <c:strCache>
                <c:ptCount val="1"/>
                <c:pt idx="0">
                  <c:v>Audits terrain réalisées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2025'!$E$5:$P$5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27-4277-BAD7-668CC871B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1626928"/>
        <c:axId val="471624632"/>
      </c:barChart>
      <c:catAx>
        <c:axId val="47162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1624632"/>
        <c:crosses val="autoZero"/>
        <c:auto val="1"/>
        <c:lblAlgn val="ctr"/>
        <c:lblOffset val="100"/>
        <c:noMultiLvlLbl val="0"/>
      </c:catAx>
      <c:valAx>
        <c:axId val="47162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162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930114504917657E-3"/>
          <c:y val="0.88417364643578844"/>
          <c:w val="0.9678313287762107"/>
          <c:h val="9.3354609434882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'Zoom Indicateurs 2025'!$A$6</c:f>
              <c:strCache>
                <c:ptCount val="1"/>
                <c:pt idx="0">
                  <c:v>Audits processus réalisées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2025'!$E$6:$P$6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4-4353-BA68-2B29A5AC7652}"/>
            </c:ext>
          </c:extLst>
        </c:ser>
        <c:ser>
          <c:idx val="2"/>
          <c:order val="1"/>
          <c:tx>
            <c:strRef>
              <c:f>'Zoom Indicateurs 2025'!$A$7</c:f>
              <c:strCache>
                <c:ptCount val="1"/>
                <c:pt idx="0">
                  <c:v>Revues de direction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2025'!$E$7:$P$7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4-4353-BA68-2B29A5AC7652}"/>
            </c:ext>
          </c:extLst>
        </c:ser>
        <c:ser>
          <c:idx val="1"/>
          <c:order val="2"/>
          <c:tx>
            <c:strRef>
              <c:f>'Zoom Indicateurs 2025'!$A$8</c:f>
              <c:strCache>
                <c:ptCount val="1"/>
                <c:pt idx="0">
                  <c:v>Revues de processus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2025'!$E$8:$P$8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B4-4353-BA68-2B29A5AC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0324736"/>
        <c:axId val="468832720"/>
      </c:barChart>
      <c:catAx>
        <c:axId val="4703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8832720"/>
        <c:crosses val="autoZero"/>
        <c:auto val="1"/>
        <c:lblAlgn val="ctr"/>
        <c:lblOffset val="100"/>
        <c:noMultiLvlLbl val="0"/>
      </c:catAx>
      <c:valAx>
        <c:axId val="4688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03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Indicateurs 2025'!$A$9</c:f>
              <c:strCache>
                <c:ptCount val="1"/>
                <c:pt idx="0">
                  <c:v>Taux d'évaluation règlementaire FRANCE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'Zoom Indicateurs 2025'!$E$1:$P$1</c15:sqref>
                  </c15:fullRef>
                </c:ext>
              </c:extLst>
              <c:f>('Zoom Indicateurs 2025'!$G$1,'Zoom Indicateurs 2025'!$J$1,'Zoom Indicateurs 2025'!$M$1,'Zoom Indicateurs 2025'!$P$1)</c:f>
              <c:strCache>
                <c:ptCount val="4"/>
                <c:pt idx="0">
                  <c:v>Mars</c:v>
                </c:pt>
                <c:pt idx="1">
                  <c:v>Juin</c:v>
                </c:pt>
                <c:pt idx="2">
                  <c:v>Septembre</c:v>
                </c:pt>
                <c:pt idx="3">
                  <c:v>Décembre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'Zoom Indicateurs 2025'!$E$9:$P$9</c15:sqref>
                  </c15:fullRef>
                </c:ext>
              </c:extLst>
              <c:f>('Zoom Indicateurs 2025'!$G$9,'Zoom Indicateurs 2025'!$J$9,'Zoom Indicateurs 2025'!$M$9,'Zoom Indicateurs 2025'!$P$9)</c:f>
              <c:numCache>
                <c:formatCode>0%</c:formatCode>
                <c:ptCount val="4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B-4066-9EDB-1017EA7FCADA}"/>
            </c:ext>
          </c:extLst>
        </c:ser>
        <c:ser>
          <c:idx val="2"/>
          <c:order val="2"/>
          <c:tx>
            <c:strRef>
              <c:f>'Zoom Indicateurs 2025'!$A$11</c:f>
              <c:strCache>
                <c:ptCount val="1"/>
                <c:pt idx="0">
                  <c:v>Taux d'évaluation règlementaire Luxembourg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'Zoom Indicateurs 2025'!$E$1:$P$1</c15:sqref>
                  </c15:fullRef>
                </c:ext>
              </c:extLst>
              <c:f>('Zoom Indicateurs 2025'!$G$1,'Zoom Indicateurs 2025'!$J$1,'Zoom Indicateurs 2025'!$M$1,'Zoom Indicateurs 2025'!$P$1)</c:f>
              <c:strCache>
                <c:ptCount val="4"/>
                <c:pt idx="0">
                  <c:v>Mars</c:v>
                </c:pt>
                <c:pt idx="1">
                  <c:v>Juin</c:v>
                </c:pt>
                <c:pt idx="2">
                  <c:v>Septembre</c:v>
                </c:pt>
                <c:pt idx="3">
                  <c:v>Décembre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'Zoom Indicateurs 2025'!$E$11:$P$11</c15:sqref>
                  </c15:fullRef>
                </c:ext>
              </c:extLst>
              <c:f>('Zoom Indicateurs 2025'!$G$11,'Zoom Indicateurs 2025'!$J$11,'Zoom Indicateurs 2025'!$M$11,'Zoom Indicateurs 2025'!$P$11)</c:f>
              <c:numCache>
                <c:formatCode>0%</c:formatCode>
                <c:ptCount val="4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B-4066-9EDB-1017EA7FC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755368"/>
        <c:axId val="614751432"/>
      </c:barChart>
      <c:lineChart>
        <c:grouping val="standard"/>
        <c:varyColors val="0"/>
        <c:ser>
          <c:idx val="1"/>
          <c:order val="1"/>
          <c:tx>
            <c:strRef>
              <c:f>'Zoom Indicateurs 2025'!$A$10</c:f>
              <c:strCache>
                <c:ptCount val="1"/>
                <c:pt idx="0">
                  <c:v>Taux de conformité règlementaire FRANCE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'Zoom Indicateurs 2025'!$E$1:$P$1</c15:sqref>
                  </c15:fullRef>
                </c:ext>
              </c:extLst>
              <c:f>('Zoom Indicateurs 2025'!$G$1,'Zoom Indicateurs 2025'!$J$1,'Zoom Indicateurs 2025'!$M$1,'Zoom Indicateurs 2025'!$P$1)</c:f>
              <c:strCache>
                <c:ptCount val="4"/>
                <c:pt idx="0">
                  <c:v>Mars</c:v>
                </c:pt>
                <c:pt idx="1">
                  <c:v>Juin</c:v>
                </c:pt>
                <c:pt idx="2">
                  <c:v>Septembre</c:v>
                </c:pt>
                <c:pt idx="3">
                  <c:v>Décembre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'Zoom Indicateurs 2025'!$E$10:$P$10</c15:sqref>
                  </c15:fullRef>
                </c:ext>
              </c:extLst>
              <c:f>('Zoom Indicateurs 2025'!$G$10,'Zoom Indicateurs 2025'!$J$10,'Zoom Indicateurs 2025'!$M$10,'Zoom Indicateurs 2025'!$P$10)</c:f>
              <c:numCache>
                <c:formatCode>0%</c:formatCode>
                <c:ptCount val="4"/>
                <c:pt idx="0">
                  <c:v>0.9</c:v>
                </c:pt>
                <c:pt idx="1">
                  <c:v>0.9</c:v>
                </c:pt>
                <c:pt idx="2">
                  <c:v>0.91</c:v>
                </c:pt>
                <c:pt idx="3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AB-4066-9EDB-1017EA7FCADA}"/>
            </c:ext>
          </c:extLst>
        </c:ser>
        <c:ser>
          <c:idx val="3"/>
          <c:order val="3"/>
          <c:tx>
            <c:strRef>
              <c:f>'Zoom Indicateurs 2025'!$A$12</c:f>
              <c:strCache>
                <c:ptCount val="1"/>
                <c:pt idx="0">
                  <c:v>Taux de conformité règlementaire Luxembourg</c:v>
                </c:pt>
              </c:strCache>
            </c:strRef>
          </c:tx>
          <c:spPr>
            <a:ln w="28575" cap="rnd">
              <a:solidFill>
                <a:srgbClr val="EB5A0A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'Zoom Indicateurs 2025'!$E$1:$P$1</c15:sqref>
                  </c15:fullRef>
                </c:ext>
              </c:extLst>
              <c:f>('Zoom Indicateurs 2025'!$G$1,'Zoom Indicateurs 2025'!$J$1,'Zoom Indicateurs 2025'!$M$1,'Zoom Indicateurs 2025'!$P$1)</c:f>
              <c:strCache>
                <c:ptCount val="4"/>
                <c:pt idx="0">
                  <c:v>Mars</c:v>
                </c:pt>
                <c:pt idx="1">
                  <c:v>Juin</c:v>
                </c:pt>
                <c:pt idx="2">
                  <c:v>Septembre</c:v>
                </c:pt>
                <c:pt idx="3">
                  <c:v>Décembre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'Zoom Indicateurs 2025'!$E$12:$P$12</c15:sqref>
                  </c15:fullRef>
                </c:ext>
              </c:extLst>
              <c:f>('Zoom Indicateurs 2025'!$G$12,'Zoom Indicateurs 2025'!$J$12,'Zoom Indicateurs 2025'!$M$12,'Zoom Indicateurs 2025'!$P$12)</c:f>
              <c:numCache>
                <c:formatCode>0%</c:formatCode>
                <c:ptCount val="4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AB-4066-9EDB-1017EA7FC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755368"/>
        <c:axId val="614751432"/>
      </c:lineChart>
      <c:catAx>
        <c:axId val="614755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4751432"/>
        <c:crosses val="autoZero"/>
        <c:auto val="1"/>
        <c:lblAlgn val="ctr"/>
        <c:lblOffset val="100"/>
        <c:noMultiLvlLbl val="0"/>
      </c:catAx>
      <c:valAx>
        <c:axId val="6147514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4755368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4942913385826773E-2"/>
          <c:y val="0.73527030970622842"/>
          <c:w val="0.85566951006124226"/>
          <c:h val="0.24266902752429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ysClr val="windowText" lastClr="000000"/>
                </a:solidFill>
              </a:rPr>
              <a:t>TF &amp; TG AB 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5.0925925925925923E-2"/>
          <c:w val="0.85057265030214424"/>
          <c:h val="0.737054275291913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'Zoom Indicateurs 2025'!$A$22</c:f>
              <c:strCache>
                <c:ptCount val="1"/>
                <c:pt idx="0">
                  <c:v>Taux de fréquence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764-47BA-AA19-90A3BB08C487}"/>
              </c:ext>
            </c:extLst>
          </c:dPt>
          <c:cat>
            <c:strRef>
              <c:f>'Zoom Indicateurs 2025'!$D$1:$P$1</c:f>
              <c:strCache>
                <c:ptCount val="13"/>
                <c:pt idx="0">
                  <c:v>Cumul  2025</c:v>
                </c:pt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'Zoom Indicateurs 2025'!$D$22:$P$22</c:f>
              <c:numCache>
                <c:formatCode>0.00</c:formatCode>
                <c:ptCount val="13"/>
                <c:pt idx="0">
                  <c:v>19.260000000000002</c:v>
                </c:pt>
                <c:pt idx="1">
                  <c:v>0</c:v>
                </c:pt>
                <c:pt idx="2">
                  <c:v>0</c:v>
                </c:pt>
                <c:pt idx="3">
                  <c:v>60.37</c:v>
                </c:pt>
                <c:pt idx="4">
                  <c:v>47.67</c:v>
                </c:pt>
                <c:pt idx="5">
                  <c:v>40.64</c:v>
                </c:pt>
                <c:pt idx="6">
                  <c:v>35.31</c:v>
                </c:pt>
                <c:pt idx="7">
                  <c:v>31.29</c:v>
                </c:pt>
                <c:pt idx="8">
                  <c:v>29.75</c:v>
                </c:pt>
                <c:pt idx="9">
                  <c:v>38.94</c:v>
                </c:pt>
                <c:pt idx="10">
                  <c:v>34.08</c:v>
                </c:pt>
                <c:pt idx="11">
                  <c:v>31.12</c:v>
                </c:pt>
                <c:pt idx="12">
                  <c:v>28.9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C-483D-8161-3BB2816B9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35328"/>
        <c:axId val="628943528"/>
      </c:barChart>
      <c:lineChart>
        <c:grouping val="standard"/>
        <c:varyColors val="0"/>
        <c:ser>
          <c:idx val="3"/>
          <c:order val="1"/>
          <c:tx>
            <c:strRef>
              <c:f>'Zoom Indicateurs 2025'!$A$23</c:f>
              <c:strCache>
                <c:ptCount val="1"/>
                <c:pt idx="0">
                  <c:v>Taux de gravité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'Zoom Indicateurs 2025'!$D$1:$P$1</c:f>
              <c:strCache>
                <c:ptCount val="13"/>
                <c:pt idx="0">
                  <c:v>Cumul  2025</c:v>
                </c:pt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'Zoom Indicateurs 2025'!$D$23:$P$23</c:f>
              <c:numCache>
                <c:formatCode>0.00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0.09</c:v>
                </c:pt>
                <c:pt idx="4">
                  <c:v>0.79</c:v>
                </c:pt>
                <c:pt idx="5">
                  <c:v>0.67</c:v>
                </c:pt>
                <c:pt idx="6">
                  <c:v>0.57999999999999996</c:v>
                </c:pt>
                <c:pt idx="7">
                  <c:v>0.52</c:v>
                </c:pt>
                <c:pt idx="8">
                  <c:v>0.49</c:v>
                </c:pt>
                <c:pt idx="9">
                  <c:v>0.48</c:v>
                </c:pt>
                <c:pt idx="10">
                  <c:v>0.42</c:v>
                </c:pt>
                <c:pt idx="11">
                  <c:v>0.38</c:v>
                </c:pt>
                <c:pt idx="12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CC-483D-8161-3BB2816B9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941560"/>
        <c:axId val="628940576"/>
      </c:lineChart>
      <c:catAx>
        <c:axId val="6289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3528"/>
        <c:crosses val="autoZero"/>
        <c:auto val="1"/>
        <c:lblAlgn val="ctr"/>
        <c:lblOffset val="100"/>
        <c:noMultiLvlLbl val="0"/>
      </c:catAx>
      <c:valAx>
        <c:axId val="6289435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35328"/>
        <c:crosses val="autoZero"/>
        <c:crossBetween val="between"/>
        <c:majorUnit val="10"/>
      </c:valAx>
      <c:valAx>
        <c:axId val="628940576"/>
        <c:scaling>
          <c:orientation val="minMax"/>
          <c:max val="1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1560"/>
        <c:crosses val="max"/>
        <c:crossBetween val="between"/>
      </c:valAx>
      <c:catAx>
        <c:axId val="628941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940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509630721790336"/>
          <c:y val="0.11936052523443763"/>
          <c:w val="0.54384656614370053"/>
          <c:h val="6.23429891263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Indicateurs 2025'!$A$25</c:f>
              <c:strCache>
                <c:ptCount val="1"/>
                <c:pt idx="0">
                  <c:v>Nombre d'ATA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2025'!$E$25:$P$25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7-4218-A21B-687E04BCD321}"/>
            </c:ext>
          </c:extLst>
        </c:ser>
        <c:ser>
          <c:idx val="2"/>
          <c:order val="2"/>
          <c:tx>
            <c:strRef>
              <c:f>'Zoom Indicateurs 2025'!$A$24</c:f>
              <c:strCache>
                <c:ptCount val="1"/>
                <c:pt idx="0">
                  <c:v>Nombre d'ATSA 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2025'!$E$24:$P$24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57-4218-A21B-687E04BCD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9757024"/>
        <c:axId val="569748864"/>
      </c:barChart>
      <c:lineChart>
        <c:grouping val="standard"/>
        <c:varyColors val="0"/>
        <c:ser>
          <c:idx val="1"/>
          <c:order val="1"/>
          <c:tx>
            <c:strRef>
              <c:f>'Zoom Indicateurs 2025'!$A$27</c:f>
              <c:strCache>
                <c:ptCount val="1"/>
                <c:pt idx="0">
                  <c:v>Taux d'analyse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2025'!$E$27:$P$27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7-4218-A21B-687E04BCD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909760"/>
        <c:axId val="607909280"/>
      </c:lineChart>
      <c:catAx>
        <c:axId val="5697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9748864"/>
        <c:crosses val="autoZero"/>
        <c:auto val="1"/>
        <c:lblAlgn val="ctr"/>
        <c:lblOffset val="100"/>
        <c:noMultiLvlLbl val="0"/>
      </c:catAx>
      <c:valAx>
        <c:axId val="56974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9757024"/>
        <c:crosses val="autoZero"/>
        <c:crossBetween val="between"/>
      </c:valAx>
      <c:valAx>
        <c:axId val="6079092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7909760"/>
        <c:crosses val="max"/>
        <c:crossBetween val="between"/>
      </c:valAx>
      <c:catAx>
        <c:axId val="607909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790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'Zoom Indicateurs 2025'!$A$32</c:f>
              <c:strCache>
                <c:ptCount val="1"/>
                <c:pt idx="0">
                  <c:v>Nombre d'ATA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2025'!$E$32:$P$32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FC7-B45A-D7A718406928}"/>
            </c:ext>
          </c:extLst>
        </c:ser>
        <c:ser>
          <c:idx val="1"/>
          <c:order val="1"/>
          <c:tx>
            <c:strRef>
              <c:f>'Zoom Indicateurs 2025'!$A$33</c:f>
              <c:strCache>
                <c:ptCount val="1"/>
                <c:pt idx="0">
                  <c:v>Nombre d'ATSA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2025'!$E$33:$P$33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D-4FC7-B45A-D7A718406928}"/>
            </c:ext>
          </c:extLst>
        </c:ser>
        <c:ser>
          <c:idx val="2"/>
          <c:order val="2"/>
          <c:tx>
            <c:strRef>
              <c:f>'Zoom Indicateurs 2025'!$A$34</c:f>
              <c:strCache>
                <c:ptCount val="1"/>
                <c:pt idx="0">
                  <c:v>nombre d'AT trajet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2025'!$E$34:$P$34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D-4FC7-B45A-D7A718406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6977328"/>
        <c:axId val="736978968"/>
      </c:barChart>
      <c:scatterChart>
        <c:scatterStyle val="lineMarker"/>
        <c:varyColors val="0"/>
        <c:ser>
          <c:idx val="3"/>
          <c:order val="3"/>
          <c:tx>
            <c:strRef>
              <c:f>'Zoom Indicateurs 2025'!$A$35</c:f>
              <c:strCache>
                <c:ptCount val="1"/>
                <c:pt idx="0">
                  <c:v>Nombre d'analyse  réalisées ATA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  <c:extLst xmlns:c15="http://schemas.microsoft.com/office/drawing/2012/chart"/>
            </c:strRef>
          </c:xVal>
          <c:yVal>
            <c:numRef>
              <c:f>'Zoom Indicateurs 2025'!$E$35:$P$35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721D-4FC7-B45A-D7A718406928}"/>
            </c:ext>
          </c:extLst>
        </c:ser>
        <c:ser>
          <c:idx val="4"/>
          <c:order val="4"/>
          <c:tx>
            <c:strRef>
              <c:f>'Zoom Indicateurs 2025'!$A$36</c:f>
              <c:strCache>
                <c:ptCount val="1"/>
                <c:pt idx="0">
                  <c:v>Taux d'analyse ATA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xVal>
          <c:yVal>
            <c:numRef>
              <c:f>'Zoom Indicateurs 2025'!$E$36:$P$36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1D-4FC7-B45A-D7A718406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703056"/>
        <c:axId val="773767016"/>
        <c:extLst/>
      </c:scatterChart>
      <c:catAx>
        <c:axId val="7369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6978968"/>
        <c:crosses val="autoZero"/>
        <c:auto val="1"/>
        <c:lblAlgn val="ctr"/>
        <c:lblOffset val="100"/>
        <c:noMultiLvlLbl val="0"/>
      </c:catAx>
      <c:valAx>
        <c:axId val="73697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6977328"/>
        <c:crosses val="autoZero"/>
        <c:crossBetween val="between"/>
      </c:valAx>
      <c:valAx>
        <c:axId val="7737670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3703056"/>
        <c:crosses val="max"/>
        <c:crossBetween val="midCat"/>
      </c:valAx>
      <c:valAx>
        <c:axId val="773703056"/>
        <c:scaling>
          <c:orientation val="minMax"/>
        </c:scaling>
        <c:delete val="1"/>
        <c:axPos val="b"/>
        <c:majorTickMark val="out"/>
        <c:minorTickMark val="none"/>
        <c:tickLblPos val="nextTo"/>
        <c:crossAx val="773767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Indicateurs 2025'!$A$37</c:f>
              <c:strCache>
                <c:ptCount val="1"/>
                <c:pt idx="0">
                  <c:v>Nombre de réclamations et d'incidents client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2025'!$E$37:$P$37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2-4012-A794-F823A766A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731008"/>
        <c:axId val="624730024"/>
      </c:barChart>
      <c:catAx>
        <c:axId val="62473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730024"/>
        <c:crosses val="autoZero"/>
        <c:auto val="1"/>
        <c:lblAlgn val="ctr"/>
        <c:lblOffset val="100"/>
        <c:noMultiLvlLbl val="0"/>
      </c:catAx>
      <c:valAx>
        <c:axId val="62473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73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247594050743664E-2"/>
          <c:y val="5.0925925925925923E-2"/>
          <c:w val="0.8479352580927384"/>
          <c:h val="0.6225287984835228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'Zoom Indicateurs 2025'!$A$14</c:f>
              <c:strCache>
                <c:ptCount val="1"/>
                <c:pt idx="0">
                  <c:v>Taux de fréquence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2025'!$E$14:$P$14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3-4E17-B90E-B6B0AD030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35328"/>
        <c:axId val="628943528"/>
      </c:barChart>
      <c:lineChart>
        <c:grouping val="standard"/>
        <c:varyColors val="0"/>
        <c:ser>
          <c:idx val="3"/>
          <c:order val="1"/>
          <c:tx>
            <c:strRef>
              <c:f>'Zoom Indicateurs 2025'!$A$15</c:f>
              <c:strCache>
                <c:ptCount val="1"/>
                <c:pt idx="0">
                  <c:v>Taux de gravité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2025'!$E$15:$P$15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3-4E17-B90E-B6B0AD030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941560"/>
        <c:axId val="628940576"/>
      </c:lineChart>
      <c:catAx>
        <c:axId val="6289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3528"/>
        <c:crosses val="autoZero"/>
        <c:auto val="1"/>
        <c:lblAlgn val="ctr"/>
        <c:lblOffset val="100"/>
        <c:noMultiLvlLbl val="0"/>
      </c:catAx>
      <c:valAx>
        <c:axId val="62894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35328"/>
        <c:crosses val="autoZero"/>
        <c:crossBetween val="between"/>
      </c:valAx>
      <c:valAx>
        <c:axId val="628940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1560"/>
        <c:crosses val="max"/>
        <c:crossBetween val="between"/>
      </c:valAx>
      <c:catAx>
        <c:axId val="628941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940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Indicateurs 2025'!$A$16</c:f>
              <c:strCache>
                <c:ptCount val="1"/>
                <c:pt idx="0">
                  <c:v>Nombre d'ATSA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2025'!$E$16:$P$16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9-41B8-985E-3DFC258E2DC5}"/>
            </c:ext>
          </c:extLst>
        </c:ser>
        <c:ser>
          <c:idx val="1"/>
          <c:order val="1"/>
          <c:tx>
            <c:strRef>
              <c:f>'Zoom Indicateurs 2025'!$A$17</c:f>
              <c:strCache>
                <c:ptCount val="1"/>
                <c:pt idx="0">
                  <c:v>Nombre d'ATA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2025'!$E$17:$P$17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9-41B8-985E-3DFC258E2D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32667280"/>
        <c:axId val="632674496"/>
      </c:barChart>
      <c:scatterChart>
        <c:scatterStyle val="lineMarker"/>
        <c:varyColors val="0"/>
        <c:ser>
          <c:idx val="2"/>
          <c:order val="2"/>
          <c:tx>
            <c:strRef>
              <c:f>'Zoom Indicateurs 2025'!$A$18</c:f>
              <c:strCache>
                <c:ptCount val="1"/>
                <c:pt idx="0">
                  <c:v>Nombre d'analyse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xVal>
          <c:yVal>
            <c:numRef>
              <c:f>'Zoom Indicateurs 2025'!$E$18:$P$18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C9-41B8-985E-3DFC258E2D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4985200"/>
        <c:axId val="744983560"/>
      </c:scatterChart>
      <c:catAx>
        <c:axId val="63266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2674496"/>
        <c:crosses val="autoZero"/>
        <c:auto val="1"/>
        <c:lblAlgn val="ctr"/>
        <c:lblOffset val="100"/>
        <c:noMultiLvlLbl val="0"/>
      </c:catAx>
      <c:valAx>
        <c:axId val="6326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2667280"/>
        <c:crosses val="autoZero"/>
        <c:crossBetween val="between"/>
      </c:valAx>
      <c:valAx>
        <c:axId val="74498356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744985200"/>
        <c:crosses val="max"/>
        <c:crossBetween val="midCat"/>
      </c:valAx>
      <c:valAx>
        <c:axId val="744985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4983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247594050743664E-2"/>
          <c:y val="5.0925925925925923E-2"/>
          <c:w val="0.8479352580927384"/>
          <c:h val="0.6225287984835228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'Zoom Indicateurs 2025'!$A$39</c:f>
              <c:strCache>
                <c:ptCount val="1"/>
                <c:pt idx="0">
                  <c:v>Taux de fréquence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2025'!$E$39:$P$39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C-49E2-8AAB-CB7D490D0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35328"/>
        <c:axId val="628943528"/>
      </c:barChart>
      <c:lineChart>
        <c:grouping val="standard"/>
        <c:varyColors val="0"/>
        <c:ser>
          <c:idx val="3"/>
          <c:order val="1"/>
          <c:tx>
            <c:strRef>
              <c:f>'Zoom Indicateurs 2025'!$A$40</c:f>
              <c:strCache>
                <c:ptCount val="1"/>
                <c:pt idx="0">
                  <c:v>Taux de gravité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2025'!$E$40:$P$40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C-49E2-8AAB-CB7D490D0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941560"/>
        <c:axId val="628940576"/>
      </c:lineChart>
      <c:catAx>
        <c:axId val="6289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3528"/>
        <c:crosses val="autoZero"/>
        <c:auto val="1"/>
        <c:lblAlgn val="ctr"/>
        <c:lblOffset val="100"/>
        <c:noMultiLvlLbl val="0"/>
      </c:catAx>
      <c:valAx>
        <c:axId val="62894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35328"/>
        <c:crosses val="autoZero"/>
        <c:crossBetween val="between"/>
      </c:valAx>
      <c:valAx>
        <c:axId val="628940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1560"/>
        <c:crosses val="max"/>
        <c:crossBetween val="between"/>
      </c:valAx>
      <c:catAx>
        <c:axId val="628941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940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Indicateurs 2025'!$A$41</c:f>
              <c:strCache>
                <c:ptCount val="1"/>
                <c:pt idx="0">
                  <c:v>Nombre d'ATSA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2025'!$E$41:$P$41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C-4CCA-AA0E-891E83F45A0D}"/>
            </c:ext>
          </c:extLst>
        </c:ser>
        <c:ser>
          <c:idx val="1"/>
          <c:order val="1"/>
          <c:tx>
            <c:strRef>
              <c:f>'Zoom Indicateurs 2025'!$A$42</c:f>
              <c:strCache>
                <c:ptCount val="1"/>
                <c:pt idx="0">
                  <c:v>Nombre d'ATA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2025'!$E$42:$P$42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C-4CCA-AA0E-891E83F45A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32667280"/>
        <c:axId val="632674496"/>
      </c:barChart>
      <c:scatterChart>
        <c:scatterStyle val="lineMarker"/>
        <c:varyColors val="0"/>
        <c:ser>
          <c:idx val="2"/>
          <c:order val="2"/>
          <c:tx>
            <c:strRef>
              <c:f>'Zoom Indicateurs 2025'!$A$43</c:f>
              <c:strCache>
                <c:ptCount val="1"/>
                <c:pt idx="0">
                  <c:v>Nombre d'analyse réalisées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xVal>
          <c:yVal>
            <c:numRef>
              <c:f>'Zoom Indicateurs 2025'!$E$43:$P$43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BC-4CCA-AA0E-891E83F45A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4985200"/>
        <c:axId val="744983560"/>
      </c:scatterChart>
      <c:catAx>
        <c:axId val="63266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2674496"/>
        <c:crosses val="autoZero"/>
        <c:auto val="1"/>
        <c:lblAlgn val="ctr"/>
        <c:lblOffset val="100"/>
        <c:noMultiLvlLbl val="0"/>
      </c:catAx>
      <c:valAx>
        <c:axId val="6326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2667280"/>
        <c:crosses val="autoZero"/>
        <c:crossBetween val="between"/>
      </c:valAx>
      <c:valAx>
        <c:axId val="74498356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744985200"/>
        <c:crosses val="max"/>
        <c:crossBetween val="midCat"/>
      </c:valAx>
      <c:valAx>
        <c:axId val="744985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4983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Veille réglementaire</a:t>
            </a:r>
            <a:r>
              <a:rPr lang="en-US" baseline="0">
                <a:solidFill>
                  <a:schemeClr val="tx1"/>
                </a:solidFill>
              </a:rPr>
              <a:t> France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Indicateurs 2025'!$A$9</c:f>
              <c:strCache>
                <c:ptCount val="1"/>
                <c:pt idx="0">
                  <c:v>Taux d'évaluation règlementaire 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20B-4200-B17F-228BFB9870B0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'Zoom Indicateurs 2025'!$D$1:$P$1</c15:sqref>
                  </c15:fullRef>
                </c:ext>
              </c:extLst>
              <c:f>('Zoom Indicateurs 2025'!$D$1,'Zoom Indicateurs 2025'!$G$1,'Zoom Indicateurs 2025'!$J$1,'Zoom Indicateurs 2025'!$M$1,'Zoom Indicateurs 2025'!$P$1)</c:f>
              <c:strCache>
                <c:ptCount val="5"/>
                <c:pt idx="0">
                  <c:v>Cumul  2025</c:v>
                </c:pt>
                <c:pt idx="1">
                  <c:v>Mars</c:v>
                </c:pt>
                <c:pt idx="2">
                  <c:v>Juin</c:v>
                </c:pt>
                <c:pt idx="3">
                  <c:v>Septembre</c:v>
                </c:pt>
                <c:pt idx="4">
                  <c:v>Décembre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'Zoom Indicateurs 2025'!$D$9:$P$9</c15:sqref>
                  </c15:fullRef>
                </c:ext>
              </c:extLst>
              <c:f>('Zoom Indicateurs 2025'!$D$9,'Zoom Indicateurs 2025'!$G$9,'Zoom Indicateurs 2025'!$J$9,'Zoom Indicateurs 2025'!$M$9,'Zoom Indicateurs 2025'!$P$9)</c:f>
              <c:numCache>
                <c:formatCode>0%</c:formatCode>
                <c:ptCount val="5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8-473E-8C73-840F6EA8FECB}"/>
            </c:ext>
          </c:extLst>
        </c:ser>
        <c:ser>
          <c:idx val="1"/>
          <c:order val="1"/>
          <c:tx>
            <c:strRef>
              <c:f>'Zoom Indicateurs 2025'!$A$10</c:f>
              <c:strCache>
                <c:ptCount val="1"/>
                <c:pt idx="0">
                  <c:v>Taux de conformité règlementaire 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0B-4200-B17F-228BFB9870B0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'Zoom Indicateurs 2025'!$D$1:$P$1</c15:sqref>
                  </c15:fullRef>
                </c:ext>
              </c:extLst>
              <c:f>('Zoom Indicateurs 2025'!$D$1,'Zoom Indicateurs 2025'!$G$1,'Zoom Indicateurs 2025'!$J$1,'Zoom Indicateurs 2025'!$M$1,'Zoom Indicateurs 2025'!$P$1)</c:f>
              <c:strCache>
                <c:ptCount val="5"/>
                <c:pt idx="0">
                  <c:v>Cumul  2025</c:v>
                </c:pt>
                <c:pt idx="1">
                  <c:v>Mars</c:v>
                </c:pt>
                <c:pt idx="2">
                  <c:v>Juin</c:v>
                </c:pt>
                <c:pt idx="3">
                  <c:v>Septembre</c:v>
                </c:pt>
                <c:pt idx="4">
                  <c:v>Décembre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'Zoom Indicateurs 2025'!$D$10:$P$10</c15:sqref>
                  </c15:fullRef>
                </c:ext>
              </c:extLst>
              <c:f>('Zoom Indicateurs 2025'!$D$10,'Zoom Indicateurs 2025'!$G$10,'Zoom Indicateurs 2025'!$J$10,'Zoom Indicateurs 2025'!$M$10,'Zoom Indicateurs 2025'!$P$10)</c:f>
              <c:numCache>
                <c:formatCode>0%</c:formatCode>
                <c:ptCount val="5"/>
                <c:pt idx="0">
                  <c:v>0.91</c:v>
                </c:pt>
                <c:pt idx="1">
                  <c:v>0.9</c:v>
                </c:pt>
                <c:pt idx="2">
                  <c:v>0.9</c:v>
                </c:pt>
                <c:pt idx="3">
                  <c:v>0.91</c:v>
                </c:pt>
                <c:pt idx="4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8-473E-8C73-840F6EA8F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755368"/>
        <c:axId val="614751432"/>
      </c:barChart>
      <c:catAx>
        <c:axId val="61475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4751432"/>
        <c:crosses val="autoZero"/>
        <c:auto val="1"/>
        <c:lblAlgn val="ctr"/>
        <c:lblOffset val="100"/>
        <c:noMultiLvlLbl val="0"/>
      </c:catAx>
      <c:valAx>
        <c:axId val="614751432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4755368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70088475636003E-2"/>
          <c:y val="3.6353170662652985E-2"/>
          <c:w val="0.92076823728690815"/>
          <c:h val="0.72765229818655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'Zoom Indicateurs 2025'!$A$49</c:f>
              <c:strCache>
                <c:ptCount val="1"/>
                <c:pt idx="0">
                  <c:v>Nombre d'ATA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C00000">
                  <a:alpha val="96000"/>
                </a:srgbClr>
              </a:solidFill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2025'!$E$49:$P$49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E-4A1C-B90D-A1C41D5F2C6E}"/>
            </c:ext>
          </c:extLst>
        </c:ser>
        <c:ser>
          <c:idx val="2"/>
          <c:order val="1"/>
          <c:tx>
            <c:strRef>
              <c:f>'Zoom Indicateurs 2025'!$A$48</c:f>
              <c:strCache>
                <c:ptCount val="1"/>
                <c:pt idx="0">
                  <c:v>Nombre d'ATSA 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2025'!$E$48:$P$48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E-4A1C-B90D-A1C41D5F2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9757024"/>
        <c:axId val="569748864"/>
      </c:barChart>
      <c:catAx>
        <c:axId val="5697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9748864"/>
        <c:crosses val="autoZero"/>
        <c:auto val="1"/>
        <c:lblAlgn val="ctr"/>
        <c:lblOffset val="100"/>
        <c:noMultiLvlLbl val="0"/>
      </c:catAx>
      <c:valAx>
        <c:axId val="56974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97570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581400302518786"/>
          <c:y val="0.12132695058050569"/>
          <c:w val="0.39755612122835315"/>
          <c:h val="5.5769458964894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247594050743664E-2"/>
          <c:y val="5.0925925925925923E-2"/>
          <c:w val="0.85057265030214424"/>
          <c:h val="0.737054275291913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'Zoom Indicateurs 2025'!$A$46</c:f>
              <c:strCache>
                <c:ptCount val="1"/>
                <c:pt idx="0">
                  <c:v>Taux de fréquence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2025'!$E$46:$P$46</c:f>
              <c:numCache>
                <c:formatCode>General</c:formatCode>
                <c:ptCount val="12"/>
                <c:pt idx="0">
                  <c:v>49.86</c:v>
                </c:pt>
                <c:pt idx="1">
                  <c:v>45.72</c:v>
                </c:pt>
                <c:pt idx="2">
                  <c:v>48.62</c:v>
                </c:pt>
                <c:pt idx="3">
                  <c:v>37.700000000000003</c:v>
                </c:pt>
                <c:pt idx="4">
                  <c:v>41.72</c:v>
                </c:pt>
                <c:pt idx="5">
                  <c:v>44.13</c:v>
                </c:pt>
                <c:pt idx="6">
                  <c:v>46.6</c:v>
                </c:pt>
                <c:pt idx="7" formatCode="0.00">
                  <c:v>39.96</c:v>
                </c:pt>
                <c:pt idx="8" formatCode="0.00">
                  <c:v>42.03</c:v>
                </c:pt>
                <c:pt idx="9" formatCode="0.00">
                  <c:v>51.88</c:v>
                </c:pt>
                <c:pt idx="10" formatCode="0.00">
                  <c:v>64.569999999999993</c:v>
                </c:pt>
                <c:pt idx="11" formatCode="0.00">
                  <c:v>64.14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7-4533-99AF-21D9516B0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35328"/>
        <c:axId val="628943528"/>
      </c:barChart>
      <c:lineChart>
        <c:grouping val="standard"/>
        <c:varyColors val="0"/>
        <c:ser>
          <c:idx val="3"/>
          <c:order val="1"/>
          <c:tx>
            <c:strRef>
              <c:f>'Zoom Indicateurs 2025'!$A$47</c:f>
              <c:strCache>
                <c:ptCount val="1"/>
                <c:pt idx="0">
                  <c:v>Taux de gravité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4.8745926561160051E-2"/>
                  <c:y val="-8.90048386035292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47-4533-99AF-21D9516B074F}"/>
                </c:ext>
              </c:extLst>
            </c:dLbl>
            <c:dLbl>
              <c:idx val="10"/>
              <c:layout>
                <c:manualLayout>
                  <c:x val="-7.2508302798783911E-2"/>
                  <c:y val="-9.62727587479720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47-4533-99AF-21D9516B074F}"/>
                </c:ext>
              </c:extLst>
            </c:dLbl>
            <c:dLbl>
              <c:idx val="11"/>
              <c:layout>
                <c:manualLayout>
                  <c:x val="-7.5148566825186558E-2"/>
                  <c:y val="-7.08350382424223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47-4533-99AF-21D9516B07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2025'!$E$47:$P$47</c:f>
              <c:numCache>
                <c:formatCode>General</c:formatCode>
                <c:ptCount val="12"/>
                <c:pt idx="0">
                  <c:v>3.19</c:v>
                </c:pt>
                <c:pt idx="1">
                  <c:v>2.91</c:v>
                </c:pt>
                <c:pt idx="2">
                  <c:v>2.72</c:v>
                </c:pt>
                <c:pt idx="3">
                  <c:v>2.41</c:v>
                </c:pt>
                <c:pt idx="4">
                  <c:v>2.12</c:v>
                </c:pt>
                <c:pt idx="5">
                  <c:v>1.89</c:v>
                </c:pt>
                <c:pt idx="6">
                  <c:v>2</c:v>
                </c:pt>
                <c:pt idx="7" formatCode="0.00">
                  <c:v>2.42</c:v>
                </c:pt>
                <c:pt idx="8" formatCode="0.00">
                  <c:v>1.99</c:v>
                </c:pt>
                <c:pt idx="9" formatCode="0.00">
                  <c:v>2.95</c:v>
                </c:pt>
                <c:pt idx="10" formatCode="0.00">
                  <c:v>1.85</c:v>
                </c:pt>
                <c:pt idx="11" formatCode="0.00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47-4533-99AF-21D9516B0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941560"/>
        <c:axId val="628940576"/>
      </c:lineChart>
      <c:catAx>
        <c:axId val="6289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3528"/>
        <c:crosses val="autoZero"/>
        <c:auto val="1"/>
        <c:lblAlgn val="ctr"/>
        <c:lblOffset val="100"/>
        <c:noMultiLvlLbl val="0"/>
      </c:catAx>
      <c:valAx>
        <c:axId val="628943528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35328"/>
        <c:crosses val="autoZero"/>
        <c:crossBetween val="between"/>
        <c:majorUnit val="5"/>
      </c:valAx>
      <c:valAx>
        <c:axId val="628940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1560"/>
        <c:crosses val="max"/>
        <c:crossBetween val="between"/>
      </c:valAx>
      <c:catAx>
        <c:axId val="628941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940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630434317862983"/>
          <c:y val="0.47871808148566175"/>
          <c:w val="0.54302167319270489"/>
          <c:h val="6.2342989126324314E-2"/>
        </c:manualLayout>
      </c:layout>
      <c:overlay val="0"/>
      <c:spPr>
        <a:solidFill>
          <a:schemeClr val="bg1">
            <a:lumMod val="95000"/>
          </a:schemeClr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Indicateurs 2025'!$A$11</c:f>
              <c:strCache>
                <c:ptCount val="1"/>
                <c:pt idx="0">
                  <c:v>Taux d'évaluation règlementaire Luxembourg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88-4ECF-9BD1-E01DE4FF3095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'Zoom Indicateurs 2025'!$D$1:$P$1</c15:sqref>
                  </c15:fullRef>
                </c:ext>
              </c:extLst>
              <c:f>('Zoom Indicateurs 2025'!$D$1,'Zoom Indicateurs 2025'!$G$1,'Zoom Indicateurs 2025'!$J$1,'Zoom Indicateurs 2025'!$M$1,'Zoom Indicateurs 2025'!$P$1)</c:f>
              <c:strCache>
                <c:ptCount val="5"/>
                <c:pt idx="0">
                  <c:v>Cumul  2025</c:v>
                </c:pt>
                <c:pt idx="1">
                  <c:v>Mars</c:v>
                </c:pt>
                <c:pt idx="2">
                  <c:v>Juin</c:v>
                </c:pt>
                <c:pt idx="3">
                  <c:v>Septembre</c:v>
                </c:pt>
                <c:pt idx="4">
                  <c:v>Décembre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'Zoom Indicateurs 2025'!$D$11:$P$11</c15:sqref>
                  </c15:fullRef>
                </c:ext>
              </c:extLst>
              <c:f>('Zoom Indicateurs 2025'!$D$11,'Zoom Indicateurs 2025'!$G$11,'Zoom Indicateurs 2025'!$J$11,'Zoom Indicateurs 2025'!$M$11,'Zoom Indicateurs 2025'!$P$11)</c:f>
              <c:numCache>
                <c:formatCode>0%</c:formatCode>
                <c:ptCount val="5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8-4ECF-9BD1-E01DE4FF3095}"/>
            </c:ext>
          </c:extLst>
        </c:ser>
        <c:ser>
          <c:idx val="1"/>
          <c:order val="1"/>
          <c:tx>
            <c:strRef>
              <c:f>'Zoom Indicateurs 2025'!$A$12</c:f>
              <c:strCache>
                <c:ptCount val="1"/>
                <c:pt idx="0">
                  <c:v>Taux de conformité règlementaire Luxembourg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88-4ECF-9BD1-E01DE4FF3095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'Zoom Indicateurs 2025'!$D$1:$P$1</c15:sqref>
                  </c15:fullRef>
                </c:ext>
              </c:extLst>
              <c:f>('Zoom Indicateurs 2025'!$D$1,'Zoom Indicateurs 2025'!$G$1,'Zoom Indicateurs 2025'!$J$1,'Zoom Indicateurs 2025'!$M$1,'Zoom Indicateurs 2025'!$P$1)</c:f>
              <c:strCache>
                <c:ptCount val="5"/>
                <c:pt idx="0">
                  <c:v>Cumul  2025</c:v>
                </c:pt>
                <c:pt idx="1">
                  <c:v>Mars</c:v>
                </c:pt>
                <c:pt idx="2">
                  <c:v>Juin</c:v>
                </c:pt>
                <c:pt idx="3">
                  <c:v>Septembre</c:v>
                </c:pt>
                <c:pt idx="4">
                  <c:v>Décembre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'Zoom Indicateurs 2025'!$D$12:$P$12</c15:sqref>
                  </c15:fullRef>
                </c:ext>
              </c:extLst>
              <c:f>('Zoom Indicateurs 2025'!$D$12,'Zoom Indicateurs 2025'!$G$12,'Zoom Indicateurs 2025'!$J$12,'Zoom Indicateurs 2025'!$M$12,'Zoom Indicateurs 2025'!$P$12)</c:f>
              <c:numCache>
                <c:formatCode>0%</c:formatCode>
                <c:ptCount val="5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8-4ECF-9BD1-E01DE4FF3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755368"/>
        <c:axId val="614751432"/>
      </c:barChart>
      <c:catAx>
        <c:axId val="61475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4751432"/>
        <c:crosses val="autoZero"/>
        <c:auto val="1"/>
        <c:lblAlgn val="ctr"/>
        <c:lblOffset val="100"/>
        <c:noMultiLvlLbl val="0"/>
      </c:catAx>
      <c:valAx>
        <c:axId val="614751432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4755368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5260258309295"/>
          <c:y val="5.0925925925925923E-2"/>
          <c:w val="0.82681032197707971"/>
          <c:h val="0.737054275291913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'Zoom Indicateurs 2025'!$A$30</c:f>
              <c:strCache>
                <c:ptCount val="1"/>
                <c:pt idx="0">
                  <c:v>Taux de fréquence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'Zoom Indicateurs 2025'!$E$30:$P$30</c:f>
              <c:numCache>
                <c:formatCode>0.00</c:formatCode>
                <c:ptCount val="12"/>
                <c:pt idx="0">
                  <c:v>27.841618221670927</c:v>
                </c:pt>
                <c:pt idx="1">
                  <c:v>35.72676456276514</c:v>
                </c:pt>
                <c:pt idx="2">
                  <c:v>43.645559358942755</c:v>
                </c:pt>
                <c:pt idx="3">
                  <c:v>44.803108260438677</c:v>
                </c:pt>
                <c:pt idx="4">
                  <c:v>46.438032624885025</c:v>
                </c:pt>
                <c:pt idx="5">
                  <c:v>40.254343041070697</c:v>
                </c:pt>
                <c:pt idx="6">
                  <c:v>42.795970297200043</c:v>
                </c:pt>
                <c:pt idx="7">
                  <c:v>43.814213015239808</c:v>
                </c:pt>
                <c:pt idx="8">
                  <c:v>45.370733336237059</c:v>
                </c:pt>
                <c:pt idx="9">
                  <c:v>57.308232327573855</c:v>
                </c:pt>
                <c:pt idx="10">
                  <c:v>51.335756381034514</c:v>
                </c:pt>
                <c:pt idx="11">
                  <c:v>53.46650056407158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1-47E2-AE46-BEC96D1C4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35328"/>
        <c:axId val="628943528"/>
      </c:barChart>
      <c:lineChart>
        <c:grouping val="standard"/>
        <c:varyColors val="0"/>
        <c:ser>
          <c:idx val="3"/>
          <c:order val="1"/>
          <c:tx>
            <c:strRef>
              <c:f>'Zoom Indicateurs 2025'!$A$31</c:f>
              <c:strCache>
                <c:ptCount val="1"/>
                <c:pt idx="0">
                  <c:v>Taux de gravité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'Zoom Indicateurs 2025'!$D$1:$P$1</c:f>
              <c:strCache>
                <c:ptCount val="13"/>
                <c:pt idx="0">
                  <c:v>Cumul  2025</c:v>
                </c:pt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'Zoom Indicateurs 2025'!$E$31:$P$31</c:f>
              <c:numCache>
                <c:formatCode>0.00</c:formatCode>
                <c:ptCount val="12"/>
                <c:pt idx="0">
                  <c:v>0.95357542409222928</c:v>
                </c:pt>
                <c:pt idx="1">
                  <c:v>1.1361111130959312</c:v>
                </c:pt>
                <c:pt idx="2">
                  <c:v>1.1638815829051401</c:v>
                </c:pt>
                <c:pt idx="3">
                  <c:v>1.388896356073599</c:v>
                </c:pt>
                <c:pt idx="4">
                  <c:v>1.3776616345382557</c:v>
                </c:pt>
                <c:pt idx="5">
                  <c:v>1.312291583138905</c:v>
                </c:pt>
                <c:pt idx="6">
                  <c:v>1.1982871683216012</c:v>
                </c:pt>
                <c:pt idx="7">
                  <c:v>1.0340154271596596</c:v>
                </c:pt>
                <c:pt idx="8">
                  <c:v>0.8892663733902465</c:v>
                </c:pt>
                <c:pt idx="9">
                  <c:v>0.97423994956875559</c:v>
                </c:pt>
                <c:pt idx="10">
                  <c:v>0.88297500975379373</c:v>
                </c:pt>
                <c:pt idx="11">
                  <c:v>0.67367790710730191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1-47E2-AE46-BEC96D1C4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941560"/>
        <c:axId val="628940576"/>
      </c:lineChart>
      <c:catAx>
        <c:axId val="6289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3528"/>
        <c:crosses val="autoZero"/>
        <c:auto val="1"/>
        <c:lblAlgn val="ctr"/>
        <c:lblOffset val="100"/>
        <c:noMultiLvlLbl val="0"/>
      </c:catAx>
      <c:valAx>
        <c:axId val="628943528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35328"/>
        <c:crosses val="autoZero"/>
        <c:crossBetween val="between"/>
        <c:majorUnit val="5"/>
      </c:valAx>
      <c:valAx>
        <c:axId val="628940576"/>
        <c:scaling>
          <c:orientation val="minMax"/>
          <c:max val="1.8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8941560"/>
        <c:crosses val="max"/>
        <c:crossBetween val="between"/>
      </c:valAx>
      <c:catAx>
        <c:axId val="628941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940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560920848749331"/>
          <c:y val="4.5307850175005028E-2"/>
          <c:w val="0.54384656614370053"/>
          <c:h val="6.23429891263243E-2"/>
        </c:manualLayout>
      </c:layout>
      <c:overlay val="0"/>
      <c:spPr>
        <a:solidFill>
          <a:schemeClr val="bg1">
            <a:lumMod val="95000"/>
          </a:schemeClr>
        </a:solidFill>
        <a:ln w="1270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[2025-Tableau de bord PM02.xlsx]Indicateur audit processus!Tableau croisé dynamique5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784688995215311E-2"/>
              <c:y val="-0.100470907936608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1897926634767569E-3"/>
              <c:y val="-0.142333786243528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2440191387559808"/>
              <c:y val="-1.25588634920760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5693779904307396E-3"/>
              <c:y val="-0.117216059259376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'Indicateur audit processus'!$H$3</c:f>
              <c:strCache>
                <c:ptCount val="1"/>
                <c:pt idx="0">
                  <c:v>Somme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'Indicateur audit processus'!$G$4:$G$8</c:f>
              <c:strCache>
                <c:ptCount val="4"/>
                <c:pt idx="0">
                  <c:v>Conforme</c:v>
                </c:pt>
                <c:pt idx="1">
                  <c:v>Défauts isolés</c:v>
                </c:pt>
                <c:pt idx="2">
                  <c:v>Non-conforme</c:v>
                </c:pt>
                <c:pt idx="3">
                  <c:v>Non audité</c:v>
                </c:pt>
              </c:strCache>
            </c:strRef>
          </c:cat>
          <c:val>
            <c:numRef>
              <c:f>'Indicateur audit processus'!$H$4:$H$8</c:f>
              <c:numCache>
                <c:formatCode>General</c:formatCode>
                <c:ptCount val="4"/>
                <c:pt idx="0">
                  <c:v>110</c:v>
                </c:pt>
                <c:pt idx="1">
                  <c:v>13</c:v>
                </c:pt>
                <c:pt idx="2">
                  <c:v>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1-4F16-8165-089985B823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8278815"/>
        <c:axId val="188279295"/>
      </c:barChart>
      <c:lineChart>
        <c:grouping val="standard"/>
        <c:varyColors val="0"/>
        <c:ser>
          <c:idx val="1"/>
          <c:order val="1"/>
          <c:tx>
            <c:strRef>
              <c:f>'Indicateur audit processus'!$I$3</c:f>
              <c:strCache>
                <c:ptCount val="1"/>
                <c:pt idx="0">
                  <c:v>Somme de Total2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24B-417B-9138-D1D303F860B4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11-4F16-8165-089985B823D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A11-4F16-8165-089985B823D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24B-417B-9138-D1D303F860B4}"/>
              </c:ext>
            </c:extLst>
          </c:dPt>
          <c:dLbls>
            <c:dLbl>
              <c:idx val="0"/>
              <c:layout>
                <c:manualLayout>
                  <c:x val="0.12440191387559808"/>
                  <c:y val="-1.2558863492076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4B-417B-9138-D1D303F860B4}"/>
                </c:ext>
              </c:extLst>
            </c:dLbl>
            <c:dLbl>
              <c:idx val="1"/>
              <c:layout>
                <c:manualLayout>
                  <c:x val="4.784688995215311E-2"/>
                  <c:y val="-0.10047090793660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11-4F16-8165-089985B823DB}"/>
                </c:ext>
              </c:extLst>
            </c:dLbl>
            <c:dLbl>
              <c:idx val="2"/>
              <c:layout>
                <c:manualLayout>
                  <c:x val="3.1897926634767569E-3"/>
                  <c:y val="-0.142333786243528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11-4F16-8165-089985B823DB}"/>
                </c:ext>
              </c:extLst>
            </c:dLbl>
            <c:dLbl>
              <c:idx val="3"/>
              <c:layout>
                <c:manualLayout>
                  <c:x val="-9.5693779904307396E-3"/>
                  <c:y val="-0.117216059259376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4B-417B-9138-D1D303F860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'Indicateur audit processus'!$G$4:$G$8</c:f>
              <c:strCache>
                <c:ptCount val="4"/>
                <c:pt idx="0">
                  <c:v>Conforme</c:v>
                </c:pt>
                <c:pt idx="1">
                  <c:v>Défauts isolés</c:v>
                </c:pt>
                <c:pt idx="2">
                  <c:v>Non-conforme</c:v>
                </c:pt>
                <c:pt idx="3">
                  <c:v>Non audité</c:v>
                </c:pt>
              </c:strCache>
            </c:strRef>
          </c:cat>
          <c:val>
            <c:numRef>
              <c:f>'Indicateur audit processus'!$I$4:$I$8</c:f>
              <c:numCache>
                <c:formatCode>0.00%</c:formatCode>
                <c:ptCount val="4"/>
                <c:pt idx="0">
                  <c:v>0.7857142857142857</c:v>
                </c:pt>
                <c:pt idx="1">
                  <c:v>9.285714285714286E-2</c:v>
                </c:pt>
                <c:pt idx="2">
                  <c:v>1.4285714285714285E-2</c:v>
                </c:pt>
                <c:pt idx="3">
                  <c:v>0.10714285714285714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11-4F16-8165-089985B823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287935"/>
        <c:axId val="188285055"/>
      </c:lineChart>
      <c:catAx>
        <c:axId val="18827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279295"/>
        <c:crosses val="autoZero"/>
        <c:auto val="1"/>
        <c:lblAlgn val="ctr"/>
        <c:lblOffset val="100"/>
        <c:noMultiLvlLbl val="0"/>
      </c:catAx>
      <c:valAx>
        <c:axId val="18827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278815"/>
        <c:crosses val="autoZero"/>
        <c:crossBetween val="between"/>
      </c:valAx>
      <c:valAx>
        <c:axId val="188285055"/>
        <c:scaling>
          <c:orientation val="minMax"/>
          <c:max val="0.85000000000000009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287935"/>
        <c:crosses val="max"/>
        <c:crossBetween val="between"/>
      </c:valAx>
      <c:catAx>
        <c:axId val="1882879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285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[2025-Tableau de bord PM02.xlsx]Indicateur audit processus!Tableau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B5A0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9444444444444445E-2"/>
              <c:y val="-4.16666666666667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B5A0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2222222222222119E-2"/>
              <c:y val="-0.12962962962962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B5A0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B5A0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"/>
              <c:y val="3.70370370370369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B5A0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64608371322006"/>
          <c:y val="7.3053368328958895E-2"/>
          <c:w val="0.78816383478380991"/>
          <c:h val="0.788160542432196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'Indicateur audit processus'!$J$31</c:f>
              <c:strCache>
                <c:ptCount val="1"/>
                <c:pt idx="0">
                  <c:v>Somme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'Indicateur audit processus'!$I$32:$I$36</c:f>
              <c:strCache>
                <c:ptCount val="4"/>
                <c:pt idx="0">
                  <c:v>Conforme</c:v>
                </c:pt>
                <c:pt idx="1">
                  <c:v>Défauts isolés</c:v>
                </c:pt>
                <c:pt idx="2">
                  <c:v>Non audité</c:v>
                </c:pt>
                <c:pt idx="3">
                  <c:v>Non-conforme</c:v>
                </c:pt>
              </c:strCache>
            </c:strRef>
          </c:cat>
          <c:val>
            <c:numRef>
              <c:f>'Indicateur audit processus'!$J$32:$J$36</c:f>
              <c:numCache>
                <c:formatCode>General</c:formatCode>
                <c:ptCount val="4"/>
                <c:pt idx="0">
                  <c:v>95</c:v>
                </c:pt>
                <c:pt idx="1">
                  <c:v>12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D-4552-91BD-4B2E74A6F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0536143"/>
        <c:axId val="700535183"/>
      </c:barChart>
      <c:lineChart>
        <c:grouping val="standard"/>
        <c:varyColors val="0"/>
        <c:ser>
          <c:idx val="1"/>
          <c:order val="1"/>
          <c:tx>
            <c:strRef>
              <c:f>'Indicateur audit processus'!$K$31</c:f>
              <c:strCache>
                <c:ptCount val="1"/>
                <c:pt idx="0">
                  <c:v>Somme de Total2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9FD-4552-91BD-4B2E74A6F5AD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FD-4552-91BD-4B2E74A6F5A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9FD-4552-91BD-4B2E74A6F5A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FD-4552-91BD-4B2E74A6F5AD}"/>
              </c:ext>
            </c:extLst>
          </c:dPt>
          <c:dLbls>
            <c:dLbl>
              <c:idx val="0"/>
              <c:layout>
                <c:manualLayout>
                  <c:x val="0.1"/>
                  <c:y val="3.70370370370369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9FD-4552-91BD-4B2E74A6F5AD}"/>
                </c:ext>
              </c:extLst>
            </c:dLbl>
            <c:dLbl>
              <c:idx val="1"/>
              <c:layout>
                <c:manualLayout>
                  <c:x val="1.9444444444444445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FD-4552-91BD-4B2E74A6F5AD}"/>
                </c:ext>
              </c:extLst>
            </c:dLbl>
            <c:dLbl>
              <c:idx val="2"/>
              <c:layout>
                <c:manualLayout>
                  <c:x val="2.2222222222222119E-2"/>
                  <c:y val="-0.129629629629629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9FD-4552-91BD-4B2E74A6F5AD}"/>
                </c:ext>
              </c:extLst>
            </c:dLbl>
            <c:dLbl>
              <c:idx val="3"/>
              <c:layout>
                <c:manualLayout>
                  <c:x val="0"/>
                  <c:y val="-0.120370370370370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9FD-4552-91BD-4B2E74A6F5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B5A0A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'Indicateur audit processus'!$I$32:$I$36</c:f>
              <c:strCache>
                <c:ptCount val="4"/>
                <c:pt idx="0">
                  <c:v>Conforme</c:v>
                </c:pt>
                <c:pt idx="1">
                  <c:v>Défauts isolés</c:v>
                </c:pt>
                <c:pt idx="2">
                  <c:v>Non audité</c:v>
                </c:pt>
                <c:pt idx="3">
                  <c:v>Non-conforme</c:v>
                </c:pt>
              </c:strCache>
            </c:strRef>
          </c:cat>
          <c:val>
            <c:numRef>
              <c:f>'Indicateur audit processus'!$K$32:$K$36</c:f>
              <c:numCache>
                <c:formatCode>0.00%</c:formatCode>
                <c:ptCount val="4"/>
                <c:pt idx="0">
                  <c:v>0.81896551724137934</c:v>
                </c:pt>
                <c:pt idx="1">
                  <c:v>0.10344827586206896</c:v>
                </c:pt>
                <c:pt idx="2">
                  <c:v>6.0344827586206899E-2</c:v>
                </c:pt>
                <c:pt idx="3">
                  <c:v>1.7241379310344827E-2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FD-4552-91BD-4B2E74A6F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204047"/>
        <c:axId val="976202607"/>
      </c:lineChart>
      <c:catAx>
        <c:axId val="70053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0535183"/>
        <c:crosses val="autoZero"/>
        <c:auto val="1"/>
        <c:lblAlgn val="ctr"/>
        <c:lblOffset val="100"/>
        <c:noMultiLvlLbl val="0"/>
      </c:catAx>
      <c:valAx>
        <c:axId val="7005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0536143"/>
        <c:crosses val="autoZero"/>
        <c:crossBetween val="between"/>
      </c:valAx>
      <c:valAx>
        <c:axId val="97620260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6204047"/>
        <c:crosses val="max"/>
        <c:crossBetween val="between"/>
      </c:valAx>
      <c:catAx>
        <c:axId val="976204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6202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[2025-Tableau de bord PM02.xlsx]Indicateur audit processus!Tableau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B5A0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333333333333333E-2"/>
              <c:y val="-9.95024059492564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B5A0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0333333333333283E-2"/>
              <c:y val="-9.48727763196266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B5A0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3000000000000098E-2"/>
              <c:y val="-0.155057961504811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EB5A0A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'Indicateur audit processus'!$K$49</c:f>
              <c:strCache>
                <c:ptCount val="1"/>
                <c:pt idx="0">
                  <c:v>Somme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944444444444444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DE-4D90-8942-4A26D214BF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'Indicateur audit processus'!$J$50:$J$54</c:f>
              <c:strCache>
                <c:ptCount val="4"/>
                <c:pt idx="0">
                  <c:v>Conforme</c:v>
                </c:pt>
                <c:pt idx="1">
                  <c:v>Défauts isolés</c:v>
                </c:pt>
                <c:pt idx="2">
                  <c:v>Non audité</c:v>
                </c:pt>
                <c:pt idx="3">
                  <c:v>Non-conforme</c:v>
                </c:pt>
              </c:strCache>
            </c:strRef>
          </c:cat>
          <c:val>
            <c:numRef>
              <c:f>'Indicateur audit processus'!$K$50:$K$54</c:f>
              <c:numCache>
                <c:formatCode>General</c:formatCode>
                <c:ptCount val="4"/>
                <c:pt idx="0">
                  <c:v>101</c:v>
                </c:pt>
                <c:pt idx="1">
                  <c:v>6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E-4D90-8942-4A26D214B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90347311"/>
        <c:axId val="1990353071"/>
      </c:barChart>
      <c:lineChart>
        <c:grouping val="standard"/>
        <c:varyColors val="0"/>
        <c:ser>
          <c:idx val="1"/>
          <c:order val="1"/>
          <c:tx>
            <c:strRef>
              <c:f>'Indicateur audit processus'!$L$49</c:f>
              <c:strCache>
                <c:ptCount val="1"/>
                <c:pt idx="0">
                  <c:v>Somme de Total2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2.0333333333333283E-2"/>
                  <c:y val="-9.4872776319626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DE-4D90-8942-4A26D214BFE0}"/>
                </c:ext>
              </c:extLst>
            </c:dLbl>
            <c:dLbl>
              <c:idx val="2"/>
              <c:layout>
                <c:manualLayout>
                  <c:x val="-2.1333333333333333E-2"/>
                  <c:y val="-9.9502405949256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DE-4D90-8942-4A26D214BFE0}"/>
                </c:ext>
              </c:extLst>
            </c:dLbl>
            <c:dLbl>
              <c:idx val="3"/>
              <c:layout>
                <c:manualLayout>
                  <c:x val="-6.3000000000000098E-2"/>
                  <c:y val="-0.155057961504811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DE-4D90-8942-4A26D214BF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B5A0A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'Indicateur audit processus'!$J$50:$J$54</c:f>
              <c:strCache>
                <c:ptCount val="4"/>
                <c:pt idx="0">
                  <c:v>Conforme</c:v>
                </c:pt>
                <c:pt idx="1">
                  <c:v>Défauts isolés</c:v>
                </c:pt>
                <c:pt idx="2">
                  <c:v>Non audité</c:v>
                </c:pt>
                <c:pt idx="3">
                  <c:v>Non-conforme</c:v>
                </c:pt>
              </c:strCache>
            </c:strRef>
          </c:cat>
          <c:val>
            <c:numRef>
              <c:f>'Indicateur audit processus'!$L$50:$L$54</c:f>
              <c:numCache>
                <c:formatCode>0.00%</c:formatCode>
                <c:ptCount val="4"/>
                <c:pt idx="0">
                  <c:v>0.86324786324786329</c:v>
                </c:pt>
                <c:pt idx="1">
                  <c:v>5.128205128205128E-2</c:v>
                </c:pt>
                <c:pt idx="2">
                  <c:v>6.8376068376068383E-2</c:v>
                </c:pt>
                <c:pt idx="3">
                  <c:v>1.7094017094017096E-2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DE-4D90-8942-4A26D214B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894527"/>
        <c:axId val="1979894047"/>
      </c:lineChart>
      <c:catAx>
        <c:axId val="199034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0353071"/>
        <c:crosses val="autoZero"/>
        <c:auto val="1"/>
        <c:lblAlgn val="ctr"/>
        <c:lblOffset val="100"/>
        <c:noMultiLvlLbl val="0"/>
      </c:catAx>
      <c:valAx>
        <c:axId val="19903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0347311"/>
        <c:crosses val="autoZero"/>
        <c:crossBetween val="between"/>
      </c:valAx>
      <c:valAx>
        <c:axId val="197989404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9894527"/>
        <c:crosses val="max"/>
        <c:crossBetween val="between"/>
      </c:valAx>
      <c:catAx>
        <c:axId val="1979894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98940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Chiffre d'affaires mensuel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Janvier</c:v>
              </c:pt>
              <c:pt idx="1">
                <c:v>Février</c:v>
              </c:pt>
              <c:pt idx="2">
                <c:v>Mars</c:v>
              </c:pt>
              <c:pt idx="3">
                <c:v>Avril</c:v>
              </c:pt>
              <c:pt idx="4">
                <c:v>Mai</c:v>
              </c:pt>
              <c:pt idx="5">
                <c:v>Juin</c:v>
              </c:pt>
              <c:pt idx="6">
                <c:v>Juillet</c:v>
              </c:pt>
              <c:pt idx="7">
                <c:v>Août</c:v>
              </c:pt>
              <c:pt idx="8">
                <c:v>Septembre</c:v>
              </c:pt>
              <c:pt idx="9">
                <c:v>Octobre</c:v>
              </c:pt>
              <c:pt idx="10">
                <c:v>Novembre</c:v>
              </c:pt>
              <c:pt idx="11">
                <c:v>Décembre</c:v>
              </c:pt>
            </c:strLit>
          </c:cat>
          <c:val>
            <c:numLit>
              <c:formatCode>General</c:formatCode>
              <c:ptCount val="12"/>
              <c:pt idx="0">
                <c:v>34966.480000000003</c:v>
              </c:pt>
              <c:pt idx="1">
                <c:v>37223.54</c:v>
              </c:pt>
              <c:pt idx="2">
                <c:v>37198.22</c:v>
              </c:pt>
              <c:pt idx="3">
                <c:v>39929.54</c:v>
              </c:pt>
              <c:pt idx="4">
                <c:v>45779.61</c:v>
              </c:pt>
              <c:pt idx="5">
                <c:v>49466.27</c:v>
              </c:pt>
              <c:pt idx="6">
                <c:v>47653.49</c:v>
              </c:pt>
              <c:pt idx="7">
                <c:v>13866.33</c:v>
              </c:pt>
              <c:pt idx="8">
                <c:v>62812.69</c:v>
              </c:pt>
              <c:pt idx="9">
                <c:v>56783</c:v>
              </c:pt>
              <c:pt idx="10">
                <c:v>58285</c:v>
              </c:pt>
              <c:pt idx="11">
                <c:v>41946</c:v>
              </c:pt>
            </c:numLit>
          </c:val>
          <c:extLst>
            <c:ext xmlns:c16="http://schemas.microsoft.com/office/drawing/2014/chart" uri="{C3380CC4-5D6E-409C-BE32-E72D297353CC}">
              <c16:uniqueId val="{00000000-8D0A-4971-A6FE-5CB9C4617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0656792"/>
        <c:axId val="600652528"/>
      </c:barChart>
      <c:lineChart>
        <c:grouping val="standard"/>
        <c:varyColors val="0"/>
        <c:ser>
          <c:idx val="1"/>
          <c:order val="1"/>
          <c:tx>
            <c:v>Nombre d'heure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Janvier</c:v>
              </c:pt>
              <c:pt idx="1">
                <c:v>Février</c:v>
              </c:pt>
              <c:pt idx="2">
                <c:v>Mars</c:v>
              </c:pt>
              <c:pt idx="3">
                <c:v>Avril</c:v>
              </c:pt>
              <c:pt idx="4">
                <c:v>Mai</c:v>
              </c:pt>
              <c:pt idx="5">
                <c:v>Juin</c:v>
              </c:pt>
              <c:pt idx="6">
                <c:v>Juillet</c:v>
              </c:pt>
              <c:pt idx="7">
                <c:v>Août</c:v>
              </c:pt>
              <c:pt idx="8">
                <c:v>Septembre</c:v>
              </c:pt>
              <c:pt idx="9">
                <c:v>Octobre</c:v>
              </c:pt>
              <c:pt idx="10">
                <c:v>Novembre</c:v>
              </c:pt>
              <c:pt idx="11">
                <c:v>Décembre</c:v>
              </c:pt>
            </c:strLit>
          </c:cat>
          <c:val>
            <c:numLit>
              <c:formatCode>General</c:formatCode>
              <c:ptCount val="12"/>
              <c:pt idx="0">
                <c:v>1343.18</c:v>
              </c:pt>
              <c:pt idx="1">
                <c:v>1569.15</c:v>
              </c:pt>
              <c:pt idx="2">
                <c:v>1663.05</c:v>
              </c:pt>
              <c:pt idx="3">
                <c:v>1636.83</c:v>
              </c:pt>
              <c:pt idx="4">
                <c:v>1939</c:v>
              </c:pt>
              <c:pt idx="5">
                <c:v>2119.61</c:v>
              </c:pt>
              <c:pt idx="6">
                <c:v>2280.85</c:v>
              </c:pt>
              <c:pt idx="7">
                <c:v>223.4</c:v>
              </c:pt>
              <c:pt idx="8">
                <c:v>2131.12</c:v>
              </c:pt>
              <c:pt idx="9">
                <c:v>2065</c:v>
              </c:pt>
              <c:pt idx="10">
                <c:v>2092</c:v>
              </c:pt>
              <c:pt idx="11">
                <c:v>1374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D0A-4971-A6FE-5CB9C4617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072584"/>
        <c:axId val="606077832"/>
      </c:lineChart>
      <c:catAx>
        <c:axId val="60065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652528"/>
        <c:crosses val="autoZero"/>
        <c:auto val="1"/>
        <c:lblAlgn val="ctr"/>
        <c:lblOffset val="100"/>
        <c:noMultiLvlLbl val="0"/>
      </c:catAx>
      <c:valAx>
        <c:axId val="6006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656792"/>
        <c:crosses val="autoZero"/>
        <c:crossBetween val="between"/>
      </c:valAx>
      <c:valAx>
        <c:axId val="606077832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6072584"/>
        <c:crosses val="max"/>
        <c:crossBetween val="between"/>
      </c:valAx>
      <c:catAx>
        <c:axId val="606072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6077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'[1]Zoom Indicateurs 2024'!#REF!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'[1]Zoom Indicateurs 2024'!#REF!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971-4902-9B81-ED768A2CE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6651344"/>
        <c:axId val="506654952"/>
      </c:barChart>
      <c:catAx>
        <c:axId val="50665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654952"/>
        <c:crosses val="autoZero"/>
        <c:auto val="1"/>
        <c:lblAlgn val="ctr"/>
        <c:lblOffset val="100"/>
        <c:noMultiLvlLbl val="0"/>
      </c:catAx>
      <c:valAx>
        <c:axId val="50665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65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'[1]Zoom Indicateurs 2024'!#REF!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'[1]Zoom Indicateurs 2024'!#REF!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3A7-4D07-AF7A-620805C25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6651344"/>
        <c:axId val="506654952"/>
      </c:barChart>
      <c:catAx>
        <c:axId val="50665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654952"/>
        <c:crosses val="autoZero"/>
        <c:auto val="1"/>
        <c:lblAlgn val="ctr"/>
        <c:lblOffset val="100"/>
        <c:noMultiLvlLbl val="0"/>
      </c:catAx>
      <c:valAx>
        <c:axId val="50665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65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'[1]Zoom Indicateurs 2024'!#REF!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'[1]Zoom Indicateurs 2024'!#REF!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8C4-4909-876E-D38648079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6651344"/>
        <c:axId val="506654952"/>
      </c:barChart>
      <c:catAx>
        <c:axId val="50665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654952"/>
        <c:crosses val="autoZero"/>
        <c:auto val="1"/>
        <c:lblAlgn val="ctr"/>
        <c:lblOffset val="100"/>
        <c:noMultiLvlLbl val="0"/>
      </c:catAx>
      <c:valAx>
        <c:axId val="50665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65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'Zoom Indicateurs 2025'!$E$1:$P$1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'[1]Zoom Indicateurs 2024'!#REF!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'[1]Zoom Indicateurs 2024'!#REF!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0F0-428B-B4D3-F594D9092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6651344"/>
        <c:axId val="506654952"/>
      </c:barChart>
      <c:catAx>
        <c:axId val="50665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654952"/>
        <c:crosses val="autoZero"/>
        <c:auto val="1"/>
        <c:lblAlgn val="ctr"/>
        <c:lblOffset val="100"/>
        <c:noMultiLvlLbl val="0"/>
      </c:catAx>
      <c:valAx>
        <c:axId val="506654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65134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>
      <cx:tx>
        <cx:txData>
          <cx:v>Réclamations / Incicents Qualité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kern="1200" spc="0" baseline="0">
              <a:solidFill>
                <a:sysClr val="windowText" lastClr="000000"/>
              </a:solidFill>
              <a:latin typeface="Calibri" panose="020F0502020204030204"/>
            </a:rPr>
            <a:t>Réclamations / Incicents Qualité </a:t>
          </a:r>
        </a:p>
      </cx:txPr>
    </cx:title>
    <cx:plotArea>
      <cx:plotAreaRegion>
        <cx:series layoutId="waterfall" uniqueId="{F96AF9B9-74C8-498F-8748-979DCD19A3BD}" formatIdx="0">
          <cx:tx>
            <cx:txData>
              <cx:f>_xlchart.v1.3</cx:f>
              <cx:v>Nombre de réclamations et d'incidents client</cx:v>
            </cx:txData>
          </cx:tx>
          <cx:dataId val="0"/>
          <cx:layoutPr>
            <cx:subtotals/>
          </cx:layoutPr>
        </cx:series>
      </cx:plotAreaRegion>
      <cx:axis id="0">
        <cx:catScaling gapWidth="2.19000006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1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_xlchart.v1.16</cx:f>
      </cx:strDim>
      <cx:numDim type="val">
        <cx:f dir="row">_xlchart.v1.17</cx:f>
      </cx:numDim>
    </cx:data>
  </cx:chartData>
  <cx:chart>
    <cx:plotArea>
      <cx:plotAreaRegion>
        <cx:series layoutId="waterfall" uniqueId="{C5FF2BF9-6281-464F-9188-4F17A544C86B}" formatIdx="0">
          <cx:tx>
            <cx:txData>
              <cx:f>_xlchart.v1.15</cx:f>
              <cx:v>Nombre d'ATSA </cx:v>
            </cx:txData>
          </cx:tx>
          <cx:dataId val="0"/>
          <cx:layoutPr>
            <cx:subtotals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plotArea>
      <cx:plotAreaRegion>
        <cx:series layoutId="waterfall" uniqueId="{00000001-598B-4AAC-89AE-E34893E0CF4F}" formatIdx="0">
          <cx:tx>
            <cx:txData>
              <cx:f>_xlchart.v1.0</cx:f>
              <cx:v>Nombre d'ATA</cx:v>
            </cx:txData>
          </cx:tx>
          <cx:dataId val="0"/>
          <cx:layoutPr>
            <cx:subtotals/>
          </cx:layoutPr>
        </cx:series>
      </cx:plotAreaRegion>
      <cx:axis id="0">
        <cx:catScaling gapWidth="2.19000006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0" min="0"/>
        <cx:majorGridlines/>
        <cx:tickLabels/>
        <cx:numFmt formatCode="Standard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</cx:f>
      </cx:strDim>
      <cx:numDim type="val">
        <cx:f dir="row">_xlchart.v1.8</cx:f>
      </cx:numDim>
    </cx:data>
  </cx:chartData>
  <cx:chart>
    <cx:plotArea>
      <cx:plotAreaRegion>
        <cx:series layoutId="waterfall" uniqueId="{00000001-598B-4AAC-89AE-E34893E0CF4F}" formatIdx="0">
          <cx:tx>
            <cx:txData>
              <cx:f>_xlchart.v1.6</cx:f>
              <cx:v>Nombre d'ATSA </cx:v>
            </cx:txData>
          </cx:tx>
          <cx:dataId val="0"/>
          <cx:layoutPr>
            <cx:subtotals/>
          </cx:layoutPr>
        </cx:series>
      </cx:plotAreaRegion>
      <cx:axis id="0">
        <cx:catScaling gapWidth="2.19000006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0" min="0"/>
        <cx:majorGridlines/>
        <cx:tickLabels/>
        <cx:numFmt formatCode="# 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_xlchart.v1.10</cx:f>
      </cx:strDim>
      <cx:numDim type="val">
        <cx:f dir="row">_xlchart.v1.11</cx:f>
      </cx:numDim>
    </cx:data>
  </cx:chartData>
  <cx:chart>
    <cx:plotArea>
      <cx:plotAreaRegion>
        <cx:series layoutId="waterfall" uniqueId="{00000001-598B-4AAC-89AE-E34893E0CF4F}" formatIdx="0">
          <cx:tx>
            <cx:txData>
              <cx:f>_xlchart.v1.9</cx:f>
              <cx:v>Nombre d'analyse</cx:v>
            </cx:txData>
          </cx:tx>
          <cx:dataId val="0"/>
          <cx:layoutPr>
            <cx:subtotals/>
          </cx:layoutPr>
        </cx:series>
      </cx:plotAreaRegion>
      <cx:axis id="0">
        <cx:catScaling gapWidth="2.19000006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0" min="0"/>
        <cx:majorGridlines/>
        <cx:tickLabels/>
        <cx:numFmt formatCode="# ##0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_xlchart.v1.13</cx:f>
      </cx:strDim>
      <cx:numDim type="val">
        <cx:f dir="row">_xlchart.v1.14</cx:f>
      </cx:numDim>
    </cx:data>
  </cx:chartData>
  <cx:chart>
    <cx:plotArea>
      <cx:plotAreaRegion>
        <cx:series layoutId="waterfall" uniqueId="{77EDA9FB-EACB-4EF1-A031-76BF87916B07}" formatIdx="1">
          <cx:tx>
            <cx:txData>
              <cx:f>_xlchart.v1.12</cx:f>
              <cx:v>Nombre d'ATA</cx:v>
            </cx:txData>
          </cx:tx>
          <cx:dataId val="0"/>
          <cx:layoutPr>
            <cx:subtotals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13" Type="http://schemas.openxmlformats.org/officeDocument/2006/relationships/chart" Target="../charts/chart11.xml"/><Relationship Id="rId18" Type="http://schemas.microsoft.com/office/2014/relationships/chartEx" Target="../charts/chartEx6.xml"/><Relationship Id="rId3" Type="http://schemas.openxmlformats.org/officeDocument/2006/relationships/chart" Target="../charts/chart3.xml"/><Relationship Id="rId21" Type="http://schemas.openxmlformats.org/officeDocument/2006/relationships/chart" Target="../charts/chart15.xml"/><Relationship Id="rId7" Type="http://schemas.openxmlformats.org/officeDocument/2006/relationships/chart" Target="../charts/chart6.xml"/><Relationship Id="rId12" Type="http://schemas.openxmlformats.org/officeDocument/2006/relationships/chart" Target="../charts/chart10.xml"/><Relationship Id="rId17" Type="http://schemas.microsoft.com/office/2014/relationships/chartEx" Target="../charts/chartEx5.xml"/><Relationship Id="rId2" Type="http://schemas.openxmlformats.org/officeDocument/2006/relationships/chart" Target="../charts/chart2.xml"/><Relationship Id="rId16" Type="http://schemas.microsoft.com/office/2014/relationships/chartEx" Target="../charts/chartEx4.xml"/><Relationship Id="rId20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microsoft.com/office/2014/relationships/chartEx" Target="../charts/chartEx3.xml"/><Relationship Id="rId10" Type="http://schemas.openxmlformats.org/officeDocument/2006/relationships/chart" Target="../charts/chart8.xml"/><Relationship Id="rId19" Type="http://schemas.openxmlformats.org/officeDocument/2006/relationships/chart" Target="../charts/chart13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Relationship Id="rId22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6</xdr:row>
      <xdr:rowOff>116417</xdr:rowOff>
    </xdr:from>
    <xdr:to>
      <xdr:col>6</xdr:col>
      <xdr:colOff>568325</xdr:colOff>
      <xdr:row>25</xdr:row>
      <xdr:rowOff>84667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77258</xdr:colOff>
      <xdr:row>6</xdr:row>
      <xdr:rowOff>159277</xdr:rowOff>
    </xdr:from>
    <xdr:to>
      <xdr:col>13</xdr:col>
      <xdr:colOff>667808</xdr:colOff>
      <xdr:row>25</xdr:row>
      <xdr:rowOff>13757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17317</xdr:colOff>
      <xdr:row>7</xdr:row>
      <xdr:rowOff>104775</xdr:rowOff>
    </xdr:from>
    <xdr:to>
      <xdr:col>21</xdr:col>
      <xdr:colOff>0</xdr:colOff>
      <xdr:row>24</xdr:row>
      <xdr:rowOff>173182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32</xdr:row>
      <xdr:rowOff>86591</xdr:rowOff>
    </xdr:from>
    <xdr:to>
      <xdr:col>7</xdr:col>
      <xdr:colOff>0</xdr:colOff>
      <xdr:row>50</xdr:row>
      <xdr:rowOff>95251</xdr:rowOff>
    </xdr:to>
    <xdr:graphicFrame macro="">
      <xdr:nvGraphicFramePr>
        <xdr:cNvPr id="62" name="Graphiqu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43295</xdr:colOff>
      <xdr:row>30</xdr:row>
      <xdr:rowOff>51954</xdr:rowOff>
    </xdr:from>
    <xdr:to>
      <xdr:col>41</xdr:col>
      <xdr:colOff>718705</xdr:colOff>
      <xdr:row>49</xdr:row>
      <xdr:rowOff>60614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27899</xdr:colOff>
      <xdr:row>30</xdr:row>
      <xdr:rowOff>105736</xdr:rowOff>
    </xdr:from>
    <xdr:to>
      <xdr:col>20</xdr:col>
      <xdr:colOff>733136</xdr:colOff>
      <xdr:row>49</xdr:row>
      <xdr:rowOff>54841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phique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24374" y="7068511"/>
              <a:ext cx="4562862" cy="3778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8</xdr:col>
      <xdr:colOff>66676</xdr:colOff>
      <xdr:row>57</xdr:row>
      <xdr:rowOff>142874</xdr:rowOff>
    </xdr:from>
    <xdr:to>
      <xdr:col>13</xdr:col>
      <xdr:colOff>695326</xdr:colOff>
      <xdr:row>75</xdr:row>
      <xdr:rowOff>28574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66674</xdr:colOff>
      <xdr:row>82</xdr:row>
      <xdr:rowOff>4761</xdr:rowOff>
    </xdr:from>
    <xdr:to>
      <xdr:col>16</xdr:col>
      <xdr:colOff>704849</xdr:colOff>
      <xdr:row>100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aphique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4449" y="17349786"/>
              <a:ext cx="6238875" cy="35480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15</xdr:col>
      <xdr:colOff>57150</xdr:colOff>
      <xdr:row>57</xdr:row>
      <xdr:rowOff>166687</xdr:rowOff>
    </xdr:from>
    <xdr:to>
      <xdr:col>20</xdr:col>
      <xdr:colOff>752475</xdr:colOff>
      <xdr:row>75</xdr:row>
      <xdr:rowOff>19050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108</xdr:row>
      <xdr:rowOff>86591</xdr:rowOff>
    </xdr:from>
    <xdr:to>
      <xdr:col>7</xdr:col>
      <xdr:colOff>0</xdr:colOff>
      <xdr:row>126</xdr:row>
      <xdr:rowOff>95251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43295</xdr:colOff>
      <xdr:row>107</xdr:row>
      <xdr:rowOff>51954</xdr:rowOff>
    </xdr:from>
    <xdr:to>
      <xdr:col>13</xdr:col>
      <xdr:colOff>718705</xdr:colOff>
      <xdr:row>126</xdr:row>
      <xdr:rowOff>60614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134</xdr:row>
      <xdr:rowOff>86591</xdr:rowOff>
    </xdr:from>
    <xdr:to>
      <xdr:col>7</xdr:col>
      <xdr:colOff>0</xdr:colOff>
      <xdr:row>152</xdr:row>
      <xdr:rowOff>95251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43295</xdr:colOff>
      <xdr:row>133</xdr:row>
      <xdr:rowOff>51954</xdr:rowOff>
    </xdr:from>
    <xdr:to>
      <xdr:col>13</xdr:col>
      <xdr:colOff>718705</xdr:colOff>
      <xdr:row>152</xdr:row>
      <xdr:rowOff>60614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42334</xdr:colOff>
      <xdr:row>31</xdr:row>
      <xdr:rowOff>105833</xdr:rowOff>
    </xdr:from>
    <xdr:to>
      <xdr:col>28</xdr:col>
      <xdr:colOff>10584</xdr:colOff>
      <xdr:row>50</xdr:row>
      <xdr:rowOff>52917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C0BB88C5-EC44-405C-B1C0-14E4AB0B0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486833</xdr:colOff>
      <xdr:row>34</xdr:row>
      <xdr:rowOff>179918</xdr:rowOff>
    </xdr:from>
    <xdr:to>
      <xdr:col>27</xdr:col>
      <xdr:colOff>666750</xdr:colOff>
      <xdr:row>34</xdr:row>
      <xdr:rowOff>179918</xdr:rowOff>
    </xdr:to>
    <xdr:cxnSp macro="">
      <xdr:nvCxnSpPr>
        <xdr:cNvPr id="22" name="Connecteur droit 21">
          <a:extLst>
            <a:ext uri="{FF2B5EF4-FFF2-40B4-BE49-F238E27FC236}">
              <a16:creationId xmlns:a16="http://schemas.microsoft.com/office/drawing/2014/main" id="{C4840CEA-69A4-0F14-24F8-101C52E805AF}"/>
            </a:ext>
          </a:extLst>
        </xdr:cNvPr>
        <xdr:cNvCxnSpPr/>
      </xdr:nvCxnSpPr>
      <xdr:spPr>
        <a:xfrm>
          <a:off x="15155333" y="8064501"/>
          <a:ext cx="398991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431851</xdr:colOff>
      <xdr:row>43</xdr:row>
      <xdr:rowOff>123104</xdr:rowOff>
    </xdr:from>
    <xdr:to>
      <xdr:col>27</xdr:col>
      <xdr:colOff>617483</xdr:colOff>
      <xdr:row>43</xdr:row>
      <xdr:rowOff>123104</xdr:rowOff>
    </xdr:to>
    <xdr:cxnSp macro="">
      <xdr:nvCxnSpPr>
        <xdr:cNvPr id="23" name="Connecteur droit 22">
          <a:extLst>
            <a:ext uri="{FF2B5EF4-FFF2-40B4-BE49-F238E27FC236}">
              <a16:creationId xmlns:a16="http://schemas.microsoft.com/office/drawing/2014/main" id="{59E1E1DD-220E-408E-BD2D-D438D7911113}"/>
            </a:ext>
          </a:extLst>
        </xdr:cNvPr>
        <xdr:cNvCxnSpPr/>
      </xdr:nvCxnSpPr>
      <xdr:spPr>
        <a:xfrm>
          <a:off x="15548586" y="9446398"/>
          <a:ext cx="410769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226372</xdr:colOff>
      <xdr:row>41</xdr:row>
      <xdr:rowOff>111312</xdr:rowOff>
    </xdr:from>
    <xdr:to>
      <xdr:col>23</xdr:col>
      <xdr:colOff>37428</xdr:colOff>
      <xdr:row>42</xdr:row>
      <xdr:rowOff>141866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53228EF4-BDC6-428E-BA28-BBAC11C7029E}"/>
            </a:ext>
          </a:extLst>
        </xdr:cNvPr>
        <xdr:cNvSpPr txBox="1"/>
      </xdr:nvSpPr>
      <xdr:spPr>
        <a:xfrm>
          <a:off x="15343107" y="9053606"/>
          <a:ext cx="595468" cy="221054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Conf</a:t>
          </a:r>
        </a:p>
      </xdr:txBody>
    </xdr:sp>
    <xdr:clientData/>
  </xdr:twoCellAnchor>
  <xdr:twoCellAnchor>
    <xdr:from>
      <xdr:col>27</xdr:col>
      <xdr:colOff>198967</xdr:colOff>
      <xdr:row>34</xdr:row>
      <xdr:rowOff>29634</xdr:rowOff>
    </xdr:from>
    <xdr:to>
      <xdr:col>27</xdr:col>
      <xdr:colOff>702733</xdr:colOff>
      <xdr:row>35</xdr:row>
      <xdr:rowOff>88902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219CFAC9-55BB-44E9-A98F-4279EA751111}"/>
            </a:ext>
          </a:extLst>
        </xdr:cNvPr>
        <xdr:cNvSpPr txBox="1"/>
      </xdr:nvSpPr>
      <xdr:spPr>
        <a:xfrm>
          <a:off x="18677467" y="7903634"/>
          <a:ext cx="503766" cy="249768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Eval</a:t>
          </a:r>
        </a:p>
      </xdr:txBody>
    </xdr:sp>
    <xdr:clientData/>
  </xdr:twoCellAnchor>
  <xdr:twoCellAnchor>
    <xdr:from>
      <xdr:col>15</xdr:col>
      <xdr:colOff>313763</xdr:colOff>
      <xdr:row>33</xdr:row>
      <xdr:rowOff>0</xdr:rowOff>
    </xdr:from>
    <xdr:to>
      <xdr:col>20</xdr:col>
      <xdr:colOff>638735</xdr:colOff>
      <xdr:row>33</xdr:row>
      <xdr:rowOff>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A2F5FE54-3BF7-45C4-97D1-5304AE687ADD}"/>
            </a:ext>
          </a:extLst>
        </xdr:cNvPr>
        <xdr:cNvCxnSpPr/>
      </xdr:nvCxnSpPr>
      <xdr:spPr>
        <a:xfrm flipV="1">
          <a:off x="10197351" y="7732059"/>
          <a:ext cx="417979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337048</xdr:colOff>
      <xdr:row>32</xdr:row>
      <xdr:rowOff>33244</xdr:rowOff>
    </xdr:from>
    <xdr:to>
      <xdr:col>20</xdr:col>
      <xdr:colOff>25898</xdr:colOff>
      <xdr:row>33</xdr:row>
      <xdr:rowOff>86287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64D28FC8-96CA-404F-BBD4-F129069F8A8E}"/>
            </a:ext>
          </a:extLst>
        </xdr:cNvPr>
        <xdr:cNvSpPr txBox="1"/>
      </xdr:nvSpPr>
      <xdr:spPr>
        <a:xfrm>
          <a:off x="13268636" y="7563597"/>
          <a:ext cx="495674" cy="254749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Récl</a:t>
          </a:r>
        </a:p>
      </xdr:txBody>
    </xdr:sp>
    <xdr:clientData/>
  </xdr:twoCellAnchor>
  <xdr:twoCellAnchor>
    <xdr:from>
      <xdr:col>1</xdr:col>
      <xdr:colOff>461682</xdr:colOff>
      <xdr:row>44</xdr:row>
      <xdr:rowOff>107451</xdr:rowOff>
    </xdr:from>
    <xdr:to>
      <xdr:col>6</xdr:col>
      <xdr:colOff>398182</xdr:colOff>
      <xdr:row>44</xdr:row>
      <xdr:rowOff>107451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1C5F5BAB-32F6-4A9A-BAAB-93B4A1905104}"/>
            </a:ext>
          </a:extLst>
        </xdr:cNvPr>
        <xdr:cNvCxnSpPr/>
      </xdr:nvCxnSpPr>
      <xdr:spPr>
        <a:xfrm>
          <a:off x="632011" y="9565216"/>
          <a:ext cx="411405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21043</xdr:colOff>
      <xdr:row>42</xdr:row>
      <xdr:rowOff>156382</xdr:rowOff>
    </xdr:from>
    <xdr:to>
      <xdr:col>2</xdr:col>
      <xdr:colOff>524809</xdr:colOff>
      <xdr:row>44</xdr:row>
      <xdr:rowOff>25152</xdr:rowOff>
    </xdr:to>
    <xdr:sp macro="" textlink="">
      <xdr:nvSpPr>
        <xdr:cNvPr id="35" name="ZoneTexte 23">
          <a:extLst>
            <a:ext uri="{FF2B5EF4-FFF2-40B4-BE49-F238E27FC236}">
              <a16:creationId xmlns:a16="http://schemas.microsoft.com/office/drawing/2014/main" id="{5D5C2F01-B268-44A2-BB64-2604A2150521}"/>
            </a:ext>
          </a:extLst>
        </xdr:cNvPr>
        <xdr:cNvSpPr txBox="1"/>
      </xdr:nvSpPr>
      <xdr:spPr>
        <a:xfrm>
          <a:off x="939925" y="9625353"/>
          <a:ext cx="503766" cy="260975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TF</a:t>
          </a:r>
        </a:p>
      </xdr:txBody>
    </xdr:sp>
    <xdr:clientData/>
  </xdr:twoCellAnchor>
  <xdr:twoCellAnchor>
    <xdr:from>
      <xdr:col>1</xdr:col>
      <xdr:colOff>453590</xdr:colOff>
      <xdr:row>41</xdr:row>
      <xdr:rowOff>166345</xdr:rowOff>
    </xdr:from>
    <xdr:to>
      <xdr:col>6</xdr:col>
      <xdr:colOff>390090</xdr:colOff>
      <xdr:row>41</xdr:row>
      <xdr:rowOff>166345</xdr:rowOff>
    </xdr:to>
    <xdr:cxnSp macro="">
      <xdr:nvCxnSpPr>
        <xdr:cNvPr id="27" name="Connecteur droit 26">
          <a:extLst>
            <a:ext uri="{FF2B5EF4-FFF2-40B4-BE49-F238E27FC236}">
              <a16:creationId xmlns:a16="http://schemas.microsoft.com/office/drawing/2014/main" id="{F46CCB29-2483-419A-986A-FD1F271BD0D2}"/>
            </a:ext>
          </a:extLst>
        </xdr:cNvPr>
        <xdr:cNvCxnSpPr/>
      </xdr:nvCxnSpPr>
      <xdr:spPr>
        <a:xfrm>
          <a:off x="623919" y="9068298"/>
          <a:ext cx="411405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324223</xdr:colOff>
      <xdr:row>41</xdr:row>
      <xdr:rowOff>19920</xdr:rowOff>
    </xdr:from>
    <xdr:to>
      <xdr:col>4</xdr:col>
      <xdr:colOff>853389</xdr:colOff>
      <xdr:row>42</xdr:row>
      <xdr:rowOff>79188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6D559762-9BB0-49CC-93B6-5C004E6CE01D}"/>
            </a:ext>
          </a:extLst>
        </xdr:cNvPr>
        <xdr:cNvSpPr txBox="1"/>
      </xdr:nvSpPr>
      <xdr:spPr>
        <a:xfrm>
          <a:off x="2861235" y="8921873"/>
          <a:ext cx="529166" cy="247527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TG</a:t>
          </a:r>
        </a:p>
      </xdr:txBody>
    </xdr:sp>
    <xdr:clientData/>
  </xdr:twoCellAnchor>
  <xdr:twoCellAnchor>
    <xdr:from>
      <xdr:col>29</xdr:col>
      <xdr:colOff>21164</xdr:colOff>
      <xdr:row>43</xdr:row>
      <xdr:rowOff>116417</xdr:rowOff>
    </xdr:from>
    <xdr:to>
      <xdr:col>34</xdr:col>
      <xdr:colOff>566747</xdr:colOff>
      <xdr:row>55</xdr:row>
      <xdr:rowOff>73084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Graphique 28">
              <a:extLst>
                <a:ext uri="{FF2B5EF4-FFF2-40B4-BE49-F238E27FC236}">
                  <a16:creationId xmlns:a16="http://schemas.microsoft.com/office/drawing/2014/main" id="{C6F97745-5234-4BC6-A82D-8BB04D7BDC8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95114" y="9765242"/>
              <a:ext cx="4517508" cy="2318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29</xdr:col>
      <xdr:colOff>306217</xdr:colOff>
      <xdr:row>50</xdr:row>
      <xdr:rowOff>110403</xdr:rowOff>
    </xdr:from>
    <xdr:to>
      <xdr:col>34</xdr:col>
      <xdr:colOff>437028</xdr:colOff>
      <xdr:row>51</xdr:row>
      <xdr:rowOff>223533</xdr:rowOff>
    </xdr:to>
    <xdr:grpSp>
      <xdr:nvGrpSpPr>
        <xdr:cNvPr id="32" name="Groupe 31">
          <a:extLst>
            <a:ext uri="{FF2B5EF4-FFF2-40B4-BE49-F238E27FC236}">
              <a16:creationId xmlns:a16="http://schemas.microsoft.com/office/drawing/2014/main" id="{A0D58609-93E9-C74A-D5F0-AC9ACE096E0A}"/>
            </a:ext>
          </a:extLst>
        </xdr:cNvPr>
        <xdr:cNvGrpSpPr/>
      </xdr:nvGrpSpPr>
      <xdr:grpSpPr>
        <a:xfrm>
          <a:off x="20480167" y="11092728"/>
          <a:ext cx="4102736" cy="313155"/>
          <a:chOff x="20404665" y="10162117"/>
          <a:chExt cx="3037418" cy="198967"/>
        </a:xfrm>
      </xdr:grpSpPr>
      <xdr:cxnSp macro="">
        <xdr:nvCxnSpPr>
          <xdr:cNvPr id="30" name="Connecteur droit 29">
            <a:extLst>
              <a:ext uri="{FF2B5EF4-FFF2-40B4-BE49-F238E27FC236}">
                <a16:creationId xmlns:a16="http://schemas.microsoft.com/office/drawing/2014/main" id="{6B3B9A12-4395-4DE9-811A-33D24B7A2D47}"/>
              </a:ext>
            </a:extLst>
          </xdr:cNvPr>
          <xdr:cNvCxnSpPr/>
        </xdr:nvCxnSpPr>
        <xdr:spPr>
          <a:xfrm>
            <a:off x="20404665" y="10276418"/>
            <a:ext cx="3037418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ZoneTexte 30">
            <a:extLst>
              <a:ext uri="{FF2B5EF4-FFF2-40B4-BE49-F238E27FC236}">
                <a16:creationId xmlns:a16="http://schemas.microsoft.com/office/drawing/2014/main" id="{FC09C060-DA03-4500-9D5E-3F73A7DB9F6A}"/>
              </a:ext>
            </a:extLst>
          </xdr:cNvPr>
          <xdr:cNvSpPr txBox="1"/>
        </xdr:nvSpPr>
        <xdr:spPr>
          <a:xfrm>
            <a:off x="20650199" y="10162117"/>
            <a:ext cx="518584" cy="198967"/>
          </a:xfrm>
          <a:prstGeom prst="round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r>
              <a:rPr lang="fr-FR" sz="900"/>
              <a:t>Obj ATA</a:t>
            </a:r>
          </a:p>
        </xdr:txBody>
      </xdr:sp>
    </xdr:grpSp>
    <xdr:clientData/>
  </xdr:twoCellAnchor>
  <xdr:twoCellAnchor>
    <xdr:from>
      <xdr:col>29</xdr:col>
      <xdr:colOff>21164</xdr:colOff>
      <xdr:row>27</xdr:row>
      <xdr:rowOff>116417</xdr:rowOff>
    </xdr:from>
    <xdr:to>
      <xdr:col>34</xdr:col>
      <xdr:colOff>566747</xdr:colOff>
      <xdr:row>39</xdr:row>
      <xdr:rowOff>73084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7" name="Graphique 36">
              <a:extLst>
                <a:ext uri="{FF2B5EF4-FFF2-40B4-BE49-F238E27FC236}">
                  <a16:creationId xmlns:a16="http://schemas.microsoft.com/office/drawing/2014/main" id="{CA9EEE9C-762E-4DD7-90B7-CC05C522497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95114" y="6460067"/>
              <a:ext cx="4517508" cy="24712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29</xdr:col>
      <xdr:colOff>351738</xdr:colOff>
      <xdr:row>33</xdr:row>
      <xdr:rowOff>149452</xdr:rowOff>
    </xdr:from>
    <xdr:to>
      <xdr:col>34</xdr:col>
      <xdr:colOff>482549</xdr:colOff>
      <xdr:row>33</xdr:row>
      <xdr:rowOff>149452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D564E777-6FC7-0ABB-C924-E554124F8A1B}"/>
            </a:ext>
          </a:extLst>
        </xdr:cNvPr>
        <xdr:cNvCxnSpPr/>
      </xdr:nvCxnSpPr>
      <xdr:spPr>
        <a:xfrm>
          <a:off x="20959356" y="7646187"/>
          <a:ext cx="310036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460858</xdr:colOff>
      <xdr:row>33</xdr:row>
      <xdr:rowOff>27718</xdr:rowOff>
    </xdr:from>
    <xdr:to>
      <xdr:col>32</xdr:col>
      <xdr:colOff>458743</xdr:colOff>
      <xdr:row>34</xdr:row>
      <xdr:rowOff>55446</xdr:rowOff>
    </xdr:to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2F5628F3-566F-1778-9726-858E6701EC1D}"/>
            </a:ext>
          </a:extLst>
        </xdr:cNvPr>
        <xdr:cNvSpPr txBox="1"/>
      </xdr:nvSpPr>
      <xdr:spPr>
        <a:xfrm>
          <a:off x="22256299" y="7524453"/>
          <a:ext cx="591797" cy="207022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ATSA</a:t>
          </a:r>
        </a:p>
      </xdr:txBody>
    </xdr:sp>
    <xdr:clientData/>
  </xdr:twoCellAnchor>
  <xdr:twoCellAnchor>
    <xdr:from>
      <xdr:col>8</xdr:col>
      <xdr:colOff>197929</xdr:colOff>
      <xdr:row>33</xdr:row>
      <xdr:rowOff>151281</xdr:rowOff>
    </xdr:from>
    <xdr:to>
      <xdr:col>13</xdr:col>
      <xdr:colOff>280147</xdr:colOff>
      <xdr:row>49</xdr:row>
      <xdr:rowOff>179295</xdr:rowOff>
    </xdr:to>
    <xdr:grpSp>
      <xdr:nvGrpSpPr>
        <xdr:cNvPr id="47" name="Groupe 46">
          <a:extLst>
            <a:ext uri="{FF2B5EF4-FFF2-40B4-BE49-F238E27FC236}">
              <a16:creationId xmlns:a16="http://schemas.microsoft.com/office/drawing/2014/main" id="{FBBB1620-9B1E-BB03-F5C4-02F68ACD0278}"/>
            </a:ext>
          </a:extLst>
        </xdr:cNvPr>
        <xdr:cNvGrpSpPr/>
      </xdr:nvGrpSpPr>
      <xdr:grpSpPr>
        <a:xfrm>
          <a:off x="5255704" y="7866531"/>
          <a:ext cx="4044618" cy="3104589"/>
          <a:chOff x="28060027" y="7565193"/>
          <a:chExt cx="3455999" cy="241200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41" name="Graphique 40">
                <a:extLst>
                  <a:ext uri="{FF2B5EF4-FFF2-40B4-BE49-F238E27FC236}">
                    <a16:creationId xmlns:a16="http://schemas.microsoft.com/office/drawing/2014/main" id="{761C9D38-767C-4256-BD6D-EB47EE99783B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8060027" y="7565193"/>
              <a:ext cx="3455999" cy="24120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7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060027" y="7565193"/>
                <a:ext cx="3455999" cy="2412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 graphique n’est pas disponible dans votre version d’Excel.
La modification de cette forme ou l’enregistrement de ce classeur dans un autre format de fichier endommagera le graphique de façon irréparable.</a:t>
                </a:r>
              </a:p>
            </xdr:txBody>
          </xdr:sp>
        </mc:Fallback>
      </mc:AlternateContent>
      <xdr:cxnSp macro="">
        <xdr:nvCxnSpPr>
          <xdr:cNvPr id="42" name="Connecteur droit 41">
            <a:extLst>
              <a:ext uri="{FF2B5EF4-FFF2-40B4-BE49-F238E27FC236}">
                <a16:creationId xmlns:a16="http://schemas.microsoft.com/office/drawing/2014/main" id="{E3241591-C5D2-445C-9250-0CEF6B80600E}"/>
              </a:ext>
            </a:extLst>
          </xdr:cNvPr>
          <xdr:cNvCxnSpPr/>
        </xdr:nvCxnSpPr>
        <xdr:spPr>
          <a:xfrm>
            <a:off x="28385095" y="8546978"/>
            <a:ext cx="3037417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ZoneTexte 42">
            <a:extLst>
              <a:ext uri="{FF2B5EF4-FFF2-40B4-BE49-F238E27FC236}">
                <a16:creationId xmlns:a16="http://schemas.microsoft.com/office/drawing/2014/main" id="{F47CCD13-AE6B-4BB1-94F7-82BCCA60AC74}"/>
              </a:ext>
            </a:extLst>
          </xdr:cNvPr>
          <xdr:cNvSpPr txBox="1"/>
        </xdr:nvSpPr>
        <xdr:spPr>
          <a:xfrm>
            <a:off x="28525460" y="8420537"/>
            <a:ext cx="579968" cy="220133"/>
          </a:xfrm>
          <a:prstGeom prst="round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r>
              <a:rPr lang="fr-FR" sz="900"/>
              <a:t>Obj 100%</a:t>
            </a:r>
          </a:p>
        </xdr:txBody>
      </xdr:sp>
    </xdr:grpSp>
    <xdr:clientData/>
  </xdr:twoCellAnchor>
  <xdr:twoCellAnchor>
    <xdr:from>
      <xdr:col>5</xdr:col>
      <xdr:colOff>533400</xdr:colOff>
      <xdr:row>154</xdr:row>
      <xdr:rowOff>156632</xdr:rowOff>
    </xdr:from>
    <xdr:to>
      <xdr:col>6</xdr:col>
      <xdr:colOff>148166</xdr:colOff>
      <xdr:row>156</xdr:row>
      <xdr:rowOff>50800</xdr:rowOff>
    </xdr:to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EE95872B-AF6C-E819-A85A-02AAEBDA36B7}"/>
            </a:ext>
          </a:extLst>
        </xdr:cNvPr>
        <xdr:cNvSpPr txBox="1"/>
      </xdr:nvSpPr>
      <xdr:spPr>
        <a:xfrm>
          <a:off x="3962400" y="29823832"/>
          <a:ext cx="529166" cy="249768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TG</a:t>
          </a:r>
        </a:p>
      </xdr:txBody>
    </xdr:sp>
    <xdr:clientData/>
  </xdr:twoCellAnchor>
  <xdr:twoCellAnchor>
    <xdr:from>
      <xdr:col>17</xdr:col>
      <xdr:colOff>3174</xdr:colOff>
      <xdr:row>81</xdr:row>
      <xdr:rowOff>182561</xdr:rowOff>
    </xdr:from>
    <xdr:to>
      <xdr:col>25</xdr:col>
      <xdr:colOff>717549</xdr:colOff>
      <xdr:row>100</xdr:row>
      <xdr:rowOff>111125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5" name="Graphique 44">
              <a:extLst>
                <a:ext uri="{FF2B5EF4-FFF2-40B4-BE49-F238E27FC236}">
                  <a16:creationId xmlns:a16="http://schemas.microsoft.com/office/drawing/2014/main" id="{CDDACF99-5611-A064-86BA-F5A807132D0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3649" y="17327561"/>
              <a:ext cx="6248400" cy="35575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26</xdr:col>
      <xdr:colOff>761999</xdr:colOff>
      <xdr:row>82</xdr:row>
      <xdr:rowOff>0</xdr:rowOff>
    </xdr:from>
    <xdr:to>
      <xdr:col>33</xdr:col>
      <xdr:colOff>35718</xdr:colOff>
      <xdr:row>102</xdr:row>
      <xdr:rowOff>20950</xdr:rowOff>
    </xdr:to>
    <xdr:graphicFrame macro="">
      <xdr:nvGraphicFramePr>
        <xdr:cNvPr id="49" name="Graphique 48">
          <a:extLst>
            <a:ext uri="{FF2B5EF4-FFF2-40B4-BE49-F238E27FC236}">
              <a16:creationId xmlns:a16="http://schemas.microsoft.com/office/drawing/2014/main" id="{1FD15FB3-FB9B-46C1-93AE-D1CCC0D21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112059</xdr:colOff>
      <xdr:row>82</xdr:row>
      <xdr:rowOff>168088</xdr:rowOff>
    </xdr:from>
    <xdr:to>
      <xdr:col>6</xdr:col>
      <xdr:colOff>719978</xdr:colOff>
      <xdr:row>100</xdr:row>
      <xdr:rowOff>176748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554CA6C-F735-4A0E-B688-DE2DD3556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334495</xdr:colOff>
      <xdr:row>86</xdr:row>
      <xdr:rowOff>8779</xdr:rowOff>
    </xdr:from>
    <xdr:to>
      <xdr:col>6</xdr:col>
      <xdr:colOff>273796</xdr:colOff>
      <xdr:row>86</xdr:row>
      <xdr:rowOff>8779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8CAEE060-2643-4EF3-BD05-3E88AD80A946}"/>
            </a:ext>
          </a:extLst>
        </xdr:cNvPr>
        <xdr:cNvCxnSpPr/>
      </xdr:nvCxnSpPr>
      <xdr:spPr>
        <a:xfrm>
          <a:off x="496420" y="18115804"/>
          <a:ext cx="398742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729255</xdr:colOff>
      <xdr:row>84</xdr:row>
      <xdr:rowOff>91328</xdr:rowOff>
    </xdr:from>
    <xdr:to>
      <xdr:col>3</xdr:col>
      <xdr:colOff>471021</xdr:colOff>
      <xdr:row>85</xdr:row>
      <xdr:rowOff>141071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2BB7F8DD-35AA-4B68-B87D-CB0EA466E779}"/>
            </a:ext>
          </a:extLst>
        </xdr:cNvPr>
        <xdr:cNvSpPr txBox="1"/>
      </xdr:nvSpPr>
      <xdr:spPr>
        <a:xfrm>
          <a:off x="1653180" y="17817353"/>
          <a:ext cx="503766" cy="240243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TF</a:t>
          </a:r>
        </a:p>
      </xdr:txBody>
    </xdr:sp>
    <xdr:clientData/>
  </xdr:twoCellAnchor>
  <xdr:twoCellAnchor>
    <xdr:from>
      <xdr:col>1</xdr:col>
      <xdr:colOff>437030</xdr:colOff>
      <xdr:row>93</xdr:row>
      <xdr:rowOff>130737</xdr:rowOff>
    </xdr:from>
    <xdr:to>
      <xdr:col>6</xdr:col>
      <xdr:colOff>376331</xdr:colOff>
      <xdr:row>93</xdr:row>
      <xdr:rowOff>130737</xdr:rowOff>
    </xdr:to>
    <xdr:cxnSp macro="">
      <xdr:nvCxnSpPr>
        <xdr:cNvPr id="51" name="Connecteur droit 50">
          <a:extLst>
            <a:ext uri="{FF2B5EF4-FFF2-40B4-BE49-F238E27FC236}">
              <a16:creationId xmlns:a16="http://schemas.microsoft.com/office/drawing/2014/main" id="{2331851A-DAE4-49F2-B72E-17E62BE7DEBB}"/>
            </a:ext>
          </a:extLst>
        </xdr:cNvPr>
        <xdr:cNvCxnSpPr/>
      </xdr:nvCxnSpPr>
      <xdr:spPr>
        <a:xfrm>
          <a:off x="598955" y="19571262"/>
          <a:ext cx="398742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562038</xdr:colOff>
      <xdr:row>92</xdr:row>
      <xdr:rowOff>172011</xdr:rowOff>
    </xdr:from>
    <xdr:to>
      <xdr:col>6</xdr:col>
      <xdr:colOff>176804</xdr:colOff>
      <xdr:row>94</xdr:row>
      <xdr:rowOff>31254</xdr:rowOff>
    </xdr:to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6BB139AA-D3FF-4133-A2C2-CD135928C169}"/>
            </a:ext>
          </a:extLst>
        </xdr:cNvPr>
        <xdr:cNvSpPr txBox="1"/>
      </xdr:nvSpPr>
      <xdr:spPr>
        <a:xfrm>
          <a:off x="3886263" y="19422036"/>
          <a:ext cx="500591" cy="240243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TG</a:t>
          </a:r>
        </a:p>
      </xdr:txBody>
    </xdr:sp>
    <xdr:clientData/>
  </xdr:twoCellAnchor>
  <xdr:twoCellAnchor>
    <xdr:from>
      <xdr:col>27</xdr:col>
      <xdr:colOff>297657</xdr:colOff>
      <xdr:row>86</xdr:row>
      <xdr:rowOff>71437</xdr:rowOff>
    </xdr:from>
    <xdr:to>
      <xdr:col>32</xdr:col>
      <xdr:colOff>678656</xdr:colOff>
      <xdr:row>86</xdr:row>
      <xdr:rowOff>83344</xdr:rowOff>
    </xdr:to>
    <xdr:cxnSp macro="">
      <xdr:nvCxnSpPr>
        <xdr:cNvPr id="54" name="Connecteur droit 53">
          <a:extLst>
            <a:ext uri="{FF2B5EF4-FFF2-40B4-BE49-F238E27FC236}">
              <a16:creationId xmlns:a16="http://schemas.microsoft.com/office/drawing/2014/main" id="{9D337A94-AA80-4B0A-81AA-7620D3A013C5}"/>
            </a:ext>
          </a:extLst>
        </xdr:cNvPr>
        <xdr:cNvCxnSpPr/>
      </xdr:nvCxnSpPr>
      <xdr:spPr>
        <a:xfrm>
          <a:off x="18788063" y="18216562"/>
          <a:ext cx="4607718" cy="1190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381000</xdr:colOff>
      <xdr:row>84</xdr:row>
      <xdr:rowOff>142874</xdr:rowOff>
    </xdr:from>
    <xdr:to>
      <xdr:col>28</xdr:col>
      <xdr:colOff>297656</xdr:colOff>
      <xdr:row>85</xdr:row>
      <xdr:rowOff>180712</xdr:rowOff>
    </xdr:to>
    <xdr:sp macro="" textlink="">
      <xdr:nvSpPr>
        <xdr:cNvPr id="56" name="ZoneTexte 55">
          <a:extLst>
            <a:ext uri="{FF2B5EF4-FFF2-40B4-BE49-F238E27FC236}">
              <a16:creationId xmlns:a16="http://schemas.microsoft.com/office/drawing/2014/main" id="{DDE89700-29CE-4C3F-8FBC-3C4126C66561}"/>
            </a:ext>
          </a:extLst>
        </xdr:cNvPr>
        <xdr:cNvSpPr txBox="1"/>
      </xdr:nvSpPr>
      <xdr:spPr>
        <a:xfrm>
          <a:off x="18871406" y="17906999"/>
          <a:ext cx="762000" cy="228338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AT</a:t>
          </a:r>
        </a:p>
      </xdr:txBody>
    </xdr:sp>
    <xdr:clientData/>
  </xdr:twoCellAnchor>
  <xdr:twoCellAnchor>
    <xdr:from>
      <xdr:col>22</xdr:col>
      <xdr:colOff>23284</xdr:colOff>
      <xdr:row>6</xdr:row>
      <xdr:rowOff>105833</xdr:rowOff>
    </xdr:from>
    <xdr:to>
      <xdr:col>27</xdr:col>
      <xdr:colOff>753534</xdr:colOff>
      <xdr:row>25</xdr:row>
      <xdr:rowOff>52917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1F0012A5-A92D-4AE9-8DBF-689A965A9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22</xdr:col>
      <xdr:colOff>486833</xdr:colOff>
      <xdr:row>10</xdr:row>
      <xdr:rowOff>84668</xdr:rowOff>
    </xdr:from>
    <xdr:to>
      <xdr:col>27</xdr:col>
      <xdr:colOff>666750</xdr:colOff>
      <xdr:row>10</xdr:row>
      <xdr:rowOff>84668</xdr:rowOff>
    </xdr:to>
    <xdr:cxnSp macro="">
      <xdr:nvCxnSpPr>
        <xdr:cNvPr id="33" name="Connecteur droit 32">
          <a:extLst>
            <a:ext uri="{FF2B5EF4-FFF2-40B4-BE49-F238E27FC236}">
              <a16:creationId xmlns:a16="http://schemas.microsoft.com/office/drawing/2014/main" id="{1C6A3422-DD73-44CC-9A3F-66D219B2E01E}"/>
            </a:ext>
          </a:extLst>
        </xdr:cNvPr>
        <xdr:cNvCxnSpPr/>
      </xdr:nvCxnSpPr>
      <xdr:spPr>
        <a:xfrm>
          <a:off x="15155333" y="2885018"/>
          <a:ext cx="398991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518584</xdr:colOff>
      <xdr:row>21</xdr:row>
      <xdr:rowOff>37043</xdr:rowOff>
    </xdr:from>
    <xdr:to>
      <xdr:col>27</xdr:col>
      <xdr:colOff>698501</xdr:colOff>
      <xdr:row>21</xdr:row>
      <xdr:rowOff>37043</xdr:rowOff>
    </xdr:to>
    <xdr:cxnSp macro="">
      <xdr:nvCxnSpPr>
        <xdr:cNvPr id="34" name="Connecteur droit 33">
          <a:extLst>
            <a:ext uri="{FF2B5EF4-FFF2-40B4-BE49-F238E27FC236}">
              <a16:creationId xmlns:a16="http://schemas.microsoft.com/office/drawing/2014/main" id="{A45D446A-59B1-4E99-81B6-3D7811973797}"/>
            </a:ext>
          </a:extLst>
        </xdr:cNvPr>
        <xdr:cNvCxnSpPr/>
      </xdr:nvCxnSpPr>
      <xdr:spPr>
        <a:xfrm>
          <a:off x="15187084" y="4932893"/>
          <a:ext cx="398991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502709</xdr:colOff>
      <xdr:row>20</xdr:row>
      <xdr:rowOff>88900</xdr:rowOff>
    </xdr:from>
    <xdr:to>
      <xdr:col>24</xdr:col>
      <xdr:colOff>244475</xdr:colOff>
      <xdr:row>21</xdr:row>
      <xdr:rowOff>148168</xdr:rowOff>
    </xdr:to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9B4E80F1-FB4B-431B-9963-C94D95A16F87}"/>
            </a:ext>
          </a:extLst>
        </xdr:cNvPr>
        <xdr:cNvSpPr txBox="1"/>
      </xdr:nvSpPr>
      <xdr:spPr>
        <a:xfrm>
          <a:off x="15933209" y="4794250"/>
          <a:ext cx="503766" cy="249768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Conf</a:t>
          </a:r>
        </a:p>
      </xdr:txBody>
    </xdr:sp>
    <xdr:clientData/>
  </xdr:twoCellAnchor>
  <xdr:twoCellAnchor>
    <xdr:from>
      <xdr:col>27</xdr:col>
      <xdr:colOff>198967</xdr:colOff>
      <xdr:row>9</xdr:row>
      <xdr:rowOff>143934</xdr:rowOff>
    </xdr:from>
    <xdr:to>
      <xdr:col>27</xdr:col>
      <xdr:colOff>702733</xdr:colOff>
      <xdr:row>11</xdr:row>
      <xdr:rowOff>12702</xdr:rowOff>
    </xdr:to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8390D041-4508-4DB0-AECD-6BFA95C3DE86}"/>
            </a:ext>
          </a:extLst>
        </xdr:cNvPr>
        <xdr:cNvSpPr txBox="1"/>
      </xdr:nvSpPr>
      <xdr:spPr>
        <a:xfrm>
          <a:off x="18677467" y="2753784"/>
          <a:ext cx="503766" cy="249768"/>
        </a:xfrm>
        <a:prstGeom prst="round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r>
            <a:rPr lang="fr-FR" sz="900"/>
            <a:t>Obj Eval</a:t>
          </a:r>
        </a:p>
      </xdr:txBody>
    </xdr:sp>
    <xdr:clientData/>
  </xdr:twoCellAnchor>
  <xdr:twoCellAnchor>
    <xdr:from>
      <xdr:col>1</xdr:col>
      <xdr:colOff>57150</xdr:colOff>
      <xdr:row>57</xdr:row>
      <xdr:rowOff>19050</xdr:rowOff>
    </xdr:from>
    <xdr:to>
      <xdr:col>6</xdr:col>
      <xdr:colOff>752475</xdr:colOff>
      <xdr:row>74</xdr:row>
      <xdr:rowOff>152400</xdr:rowOff>
    </xdr:to>
    <xdr:graphicFrame macro="">
      <xdr:nvGraphicFramePr>
        <xdr:cNvPr id="46" name="Graphique 45">
          <a:extLst>
            <a:ext uri="{FF2B5EF4-FFF2-40B4-BE49-F238E27FC236}">
              <a16:creationId xmlns:a16="http://schemas.microsoft.com/office/drawing/2014/main" id="{30855425-C13C-4E9F-905B-D9FE59655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0.11655</cdr:x>
      <cdr:y>0.53503</cdr:y>
    </cdr:from>
    <cdr:to>
      <cdr:x>0.13153</cdr:x>
      <cdr:y>0.5557</cdr:y>
    </cdr:to>
    <cdr:sp macro="" textlink="">
      <cdr:nvSpPr>
        <cdr:cNvPr id="2" name="Ellipse 1">
          <a:extLst xmlns:a="http://schemas.openxmlformats.org/drawingml/2006/main">
            <a:ext uri="{FF2B5EF4-FFF2-40B4-BE49-F238E27FC236}">
              <a16:creationId xmlns:a16="http://schemas.microsoft.com/office/drawing/2014/main" id="{A5DBF5DA-C763-3AA2-2A51-72F94A343920}"/>
            </a:ext>
          </a:extLst>
        </cdr:cNvPr>
        <cdr:cNvSpPr/>
      </cdr:nvSpPr>
      <cdr:spPr>
        <a:xfrm xmlns:a="http://schemas.openxmlformats.org/drawingml/2006/main">
          <a:off x="560294" y="1863233"/>
          <a:ext cx="72000" cy="72000"/>
        </a:xfrm>
        <a:prstGeom xmlns:a="http://schemas.openxmlformats.org/drawingml/2006/main" prst="ellipse">
          <a:avLst/>
        </a:prstGeom>
        <a:ln xmlns:a="http://schemas.openxmlformats.org/drawingml/2006/main">
          <a:solidFill>
            <a:schemeClr val="accent4"/>
          </a:solidFill>
        </a:ln>
      </cdr:spPr>
      <cdr:style>
        <a:lnRef xmlns:a="http://schemas.openxmlformats.org/drawingml/2006/main" idx="2">
          <a:schemeClr val="accent6">
            <a:shade val="15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0.10807</cdr:x>
      <cdr:y>1</cdr:y>
    </cdr:from>
    <cdr:to>
      <cdr:x>0.88872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CAEE060-2643-4EF3-BD05-3E88AD80A946}"/>
            </a:ext>
          </a:extLst>
        </cdr:cNvPr>
        <cdr:cNvCxnSpPr/>
      </cdr:nvCxnSpPr>
      <cdr:spPr>
        <a:xfrm xmlns:a="http://schemas.openxmlformats.org/drawingml/2006/main">
          <a:off x="551983" y="18204704"/>
          <a:ext cx="3987426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0.0897</cdr:x>
      <cdr:y>0.47692</cdr:y>
    </cdr:from>
    <cdr:to>
      <cdr:x>0.91809</cdr:x>
      <cdr:y>0.47692</cdr:y>
    </cdr:to>
    <cdr:cxnSp macro="">
      <cdr:nvCxnSpPr>
        <cdr:cNvPr id="4" name="Connecteur droit 3">
          <a:extLst xmlns:a="http://schemas.openxmlformats.org/drawingml/2006/main">
            <a:ext uri="{FF2B5EF4-FFF2-40B4-BE49-F238E27FC236}">
              <a16:creationId xmlns:a16="http://schemas.microsoft.com/office/drawing/2014/main" id="{20169CDA-3CBE-4488-AEA1-050020150955}"/>
            </a:ext>
          </a:extLst>
        </cdr:cNvPr>
        <cdr:cNvCxnSpPr/>
      </cdr:nvCxnSpPr>
      <cdr:spPr>
        <a:xfrm xmlns:a="http://schemas.openxmlformats.org/drawingml/2006/main">
          <a:off x="425503" y="1604843"/>
          <a:ext cx="3929426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0.64329</cdr:x>
      <cdr:y>0.44766</cdr:y>
    </cdr:from>
    <cdr:to>
      <cdr:x>0.7969</cdr:x>
      <cdr:y>0.51754</cdr:y>
    </cdr:to>
    <cdr:sp macro="" textlink="">
      <cdr:nvSpPr>
        <cdr:cNvPr id="5" name="ZoneTexte 58">
          <a:extLst xmlns:a="http://schemas.openxmlformats.org/drawingml/2006/main">
            <a:ext uri="{FF2B5EF4-FFF2-40B4-BE49-F238E27FC236}">
              <a16:creationId xmlns:a16="http://schemas.microsoft.com/office/drawing/2014/main" id="{23532C08-4AA9-49F5-A29A-D426C176F96F}"/>
            </a:ext>
          </a:extLst>
        </cdr:cNvPr>
        <cdr:cNvSpPr txBox="1"/>
      </cdr:nvSpPr>
      <cdr:spPr>
        <a:xfrm xmlns:a="http://schemas.openxmlformats.org/drawingml/2006/main">
          <a:off x="3051422" y="1506391"/>
          <a:ext cx="728642" cy="235149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rgbClr val="FF0000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36000" tIns="36000" rIns="36000" bIns="36000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900"/>
            <a:t>Obj TG : 0,8</a:t>
          </a:r>
        </a:p>
      </cdr:txBody>
    </cdr:sp>
  </cdr:relSizeAnchor>
  <cdr:relSizeAnchor xmlns:cdr="http://schemas.openxmlformats.org/drawingml/2006/chartDrawing">
    <cdr:from>
      <cdr:x>0.18716</cdr:x>
      <cdr:y>0.44357</cdr:y>
    </cdr:from>
    <cdr:to>
      <cdr:x>0.36661</cdr:x>
      <cdr:y>0.51345</cdr:y>
    </cdr:to>
    <cdr:sp macro="" textlink="">
      <cdr:nvSpPr>
        <cdr:cNvPr id="3" name="ZoneTexte 56">
          <a:extLst xmlns:a="http://schemas.openxmlformats.org/drawingml/2006/main">
            <a:ext uri="{FF2B5EF4-FFF2-40B4-BE49-F238E27FC236}">
              <a16:creationId xmlns:a16="http://schemas.microsoft.com/office/drawing/2014/main" id="{8B4F1BD8-8A10-41C5-8E9C-F9CCB5017E51}"/>
            </a:ext>
          </a:extLst>
        </cdr:cNvPr>
        <cdr:cNvSpPr txBox="1"/>
      </cdr:nvSpPr>
      <cdr:spPr>
        <a:xfrm xmlns:a="http://schemas.openxmlformats.org/drawingml/2006/main">
          <a:off x="887798" y="1492619"/>
          <a:ext cx="851194" cy="23515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rgbClr val="FF0000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36000" tIns="36000" rIns="36000" bIns="36000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900"/>
            <a:t>Obj TF : 25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2</xdr:row>
      <xdr:rowOff>42861</xdr:rowOff>
    </xdr:from>
    <xdr:to>
      <xdr:col>13</xdr:col>
      <xdr:colOff>695325</xdr:colOff>
      <xdr:row>18</xdr:row>
      <xdr:rowOff>171450</xdr:rowOff>
    </xdr:to>
    <xdr:graphicFrame macro="">
      <xdr:nvGraphicFramePr>
        <xdr:cNvPr id="5" name="Graphique5">
          <a:extLst>
            <a:ext uri="{FF2B5EF4-FFF2-40B4-BE49-F238E27FC236}">
              <a16:creationId xmlns:a16="http://schemas.microsoft.com/office/drawing/2014/main" id="{7EB190E9-293A-BCB4-2F55-828B28D3E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152400</xdr:colOff>
      <xdr:row>29</xdr:row>
      <xdr:rowOff>128587</xdr:rowOff>
    </xdr:from>
    <xdr:to>
      <xdr:col>6</xdr:col>
      <xdr:colOff>200025</xdr:colOff>
      <xdr:row>44</xdr:row>
      <xdr:rowOff>14287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40478D2-BCE0-9CA0-333C-43998A867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85725</xdr:colOff>
      <xdr:row>54</xdr:row>
      <xdr:rowOff>166687</xdr:rowOff>
    </xdr:from>
    <xdr:to>
      <xdr:col>6</xdr:col>
      <xdr:colOff>76200</xdr:colOff>
      <xdr:row>69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F002EF-AA7A-A57E-AB44-797C19664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3</xdr:row>
      <xdr:rowOff>0</xdr:rowOff>
    </xdr:from>
    <xdr:to>
      <xdr:col>6</xdr:col>
      <xdr:colOff>714375</xdr:colOff>
      <xdr:row>3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47626</xdr:colOff>
      <xdr:row>5</xdr:row>
      <xdr:rowOff>11906</xdr:rowOff>
    </xdr:from>
    <xdr:to>
      <xdr:col>6</xdr:col>
      <xdr:colOff>702469</xdr:colOff>
      <xdr:row>21</xdr:row>
      <xdr:rowOff>83343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47626</xdr:colOff>
      <xdr:row>5</xdr:row>
      <xdr:rowOff>11906</xdr:rowOff>
    </xdr:from>
    <xdr:to>
      <xdr:col>13</xdr:col>
      <xdr:colOff>702469</xdr:colOff>
      <xdr:row>21</xdr:row>
      <xdr:rowOff>83343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47626</xdr:colOff>
      <xdr:row>5</xdr:row>
      <xdr:rowOff>11906</xdr:rowOff>
    </xdr:from>
    <xdr:to>
      <xdr:col>20</xdr:col>
      <xdr:colOff>702469</xdr:colOff>
      <xdr:row>21</xdr:row>
      <xdr:rowOff>83343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47626</xdr:colOff>
      <xdr:row>25</xdr:row>
      <xdr:rowOff>11906</xdr:rowOff>
    </xdr:from>
    <xdr:to>
      <xdr:col>6</xdr:col>
      <xdr:colOff>702469</xdr:colOff>
      <xdr:row>41</xdr:row>
      <xdr:rowOff>83343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en MARTZ" refreshedDate="46154.779126041663" createdVersion="8" refreshedVersion="8" minRefreshableVersion="3" recordCount="4" xr:uid="{2B10D1E2-A6EE-4C13-8F3E-FC40F15917AE}">
  <cacheSource type="worksheet">
    <worksheetSource ref="B11:I15" sheet="Indicateur audit processus"/>
  </cacheSource>
  <cacheFields count="8">
    <cacheField name="Processus" numFmtId="0">
      <sharedItems count="4">
        <s v="Conforme"/>
        <s v="Défauts isolés"/>
        <s v="Non-conforme"/>
        <s v="Non audité"/>
      </sharedItems>
    </cacheField>
    <cacheField name="PM02" numFmtId="0">
      <sharedItems containsSemiMixedTypes="0" containsString="0" containsNumber="1" containsInteger="1" minValue="0" maxValue="18"/>
    </cacheField>
    <cacheField name="PR01" numFmtId="0">
      <sharedItems containsSemiMixedTypes="0" containsString="0" containsNumber="1" containsInteger="1" minValue="0" maxValue="18"/>
    </cacheField>
    <cacheField name="PR02" numFmtId="0">
      <sharedItems containsSemiMixedTypes="0" containsString="0" containsNumber="1" containsInteger="1" minValue="0" maxValue="17"/>
    </cacheField>
    <cacheField name="PR04" numFmtId="0">
      <sharedItems containsSemiMixedTypes="0" containsString="0" containsNumber="1" containsInteger="1" minValue="0" maxValue="16"/>
    </cacheField>
    <cacheField name="PR042" numFmtId="0">
      <sharedItems containsSemiMixedTypes="0" containsString="0" containsNumber="1" containsInteger="1" minValue="0" maxValue="22"/>
    </cacheField>
    <cacheField name="PS01" numFmtId="0">
      <sharedItems containsSemiMixedTypes="0" containsString="0" containsNumber="1" containsInteger="1" minValue="0" maxValue="19"/>
    </cacheField>
    <cacheField name="Total" numFmtId="0">
      <sharedItems containsSemiMixedTypes="0" containsString="0" containsNumber="1" containsInteger="1" minValue="2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en MARTZ" refreshedDate="46155.751865972219" createdVersion="8" refreshedVersion="8" minRefreshableVersion="3" recordCount="4" xr:uid="{9F2BAB7C-A03A-4D9E-9EC4-CE7D8CE30340}">
  <cacheSource type="worksheet">
    <worksheetSource ref="B24:H28" sheet="Indicateur audit processus"/>
  </cacheSource>
  <cacheFields count="7">
    <cacheField name="Processus" numFmtId="0">
      <sharedItems count="4">
        <s v="Conforme"/>
        <s v="Défauts isolés"/>
        <s v="Non-conforme"/>
        <s v="Non audité"/>
      </sharedItems>
    </cacheField>
    <cacheField name="PM02" numFmtId="0">
      <sharedItems containsSemiMixedTypes="0" containsString="0" containsNumber="1" containsInteger="1" minValue="0" maxValue="18"/>
    </cacheField>
    <cacheField name="PR01" numFmtId="0">
      <sharedItems containsSemiMixedTypes="0" containsString="0" containsNumber="1" containsInteger="1" minValue="0" maxValue="18"/>
    </cacheField>
    <cacheField name="PR02" numFmtId="0">
      <sharedItems containsSemiMixedTypes="0" containsString="0" containsNumber="1" containsInteger="1" minValue="0" maxValue="17"/>
    </cacheField>
    <cacheField name="PS01" numFmtId="0">
      <sharedItems containsSemiMixedTypes="0" containsString="0" containsNumber="1" containsInteger="1" minValue="0" maxValue="19"/>
    </cacheField>
    <cacheField name="PS02" numFmtId="0">
      <sharedItems containsSemiMixedTypes="0" containsString="0" containsNumber="1" containsInteger="1" minValue="0" maxValue="23"/>
    </cacheField>
    <cacheField name="Total" numFmtId="0">
      <sharedItems containsSemiMixedTypes="0" containsString="0" containsNumber="1" containsInteger="1" minValue="2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en MARTZ" refreshedDate="46162.702518287035" createdVersion="8" refreshedVersion="8" minRefreshableVersion="3" recordCount="4" xr:uid="{5D61CE7D-3CB6-4053-AABA-27AD313E18FB}">
  <cacheSource type="worksheet">
    <worksheetSource ref="B48:H52" sheet="Indicateur audit processus"/>
  </cacheSource>
  <cacheFields count="7">
    <cacheField name="Processus" numFmtId="0">
      <sharedItems count="4">
        <s v="Conforme"/>
        <s v="Défauts isolés"/>
        <s v="Non-conforme"/>
        <s v="Non audité"/>
      </sharedItems>
    </cacheField>
    <cacheField name="PM02" numFmtId="0">
      <sharedItems containsSemiMixedTypes="0" containsString="0" containsNumber="1" containsInteger="1" minValue="0" maxValue="18"/>
    </cacheField>
    <cacheField name="PR01" numFmtId="0">
      <sharedItems containsSemiMixedTypes="0" containsString="0" containsNumber="1" containsInteger="1" minValue="0" maxValue="18"/>
    </cacheField>
    <cacheField name="PR07" numFmtId="0">
      <sharedItems containsSemiMixedTypes="0" containsString="0" containsNumber="1" containsInteger="1" minValue="1" maxValue="23"/>
    </cacheField>
    <cacheField name="PS01" numFmtId="0">
      <sharedItems containsSemiMixedTypes="0" containsString="0" containsNumber="1" containsInteger="1" minValue="0" maxValue="19"/>
    </cacheField>
    <cacheField name="PS02" numFmtId="0">
      <sharedItems containsSemiMixedTypes="0" containsString="0" containsNumber="1" containsInteger="1" minValue="0" maxValue="23"/>
    </cacheField>
    <cacheField name="Total" numFmtId="0">
      <sharedItems containsSemiMixedTypes="0" containsString="0" containsNumber="1" containsInteger="1" minValue="2" maxValue="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8"/>
    <n v="18"/>
    <n v="17"/>
    <n v="16"/>
    <n v="22"/>
    <n v="19"/>
    <n v="110"/>
  </r>
  <r>
    <x v="1"/>
    <n v="2"/>
    <n v="1"/>
    <n v="8"/>
    <n v="2"/>
    <n v="0"/>
    <n v="0"/>
    <n v="13"/>
  </r>
  <r>
    <x v="2"/>
    <n v="0"/>
    <n v="0"/>
    <n v="2"/>
    <n v="0"/>
    <n v="0"/>
    <n v="0"/>
    <n v="2"/>
  </r>
  <r>
    <x v="3"/>
    <n v="0"/>
    <n v="3"/>
    <n v="0"/>
    <n v="9"/>
    <n v="2"/>
    <n v="1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8"/>
    <n v="18"/>
    <n v="17"/>
    <n v="19"/>
    <n v="23"/>
    <n v="95"/>
  </r>
  <r>
    <x v="1"/>
    <n v="2"/>
    <n v="1"/>
    <n v="8"/>
    <n v="0"/>
    <n v="1"/>
    <n v="12"/>
  </r>
  <r>
    <x v="2"/>
    <n v="0"/>
    <n v="0"/>
    <n v="2"/>
    <n v="0"/>
    <n v="0"/>
    <n v="2"/>
  </r>
  <r>
    <x v="3"/>
    <n v="0"/>
    <n v="3"/>
    <n v="0"/>
    <n v="1"/>
    <n v="3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8"/>
    <n v="18"/>
    <n v="23"/>
    <n v="19"/>
    <n v="23"/>
    <n v="101"/>
  </r>
  <r>
    <x v="1"/>
    <n v="2"/>
    <n v="1"/>
    <n v="2"/>
    <n v="0"/>
    <n v="1"/>
    <n v="6"/>
  </r>
  <r>
    <x v="2"/>
    <n v="0"/>
    <n v="0"/>
    <n v="2"/>
    <n v="0"/>
    <n v="0"/>
    <n v="2"/>
  </r>
  <r>
    <x v="3"/>
    <n v="0"/>
    <n v="3"/>
    <n v="1"/>
    <n v="1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0BCEF-753A-445A-B2B6-ABC2534B7F0C}" name="Tableau croisé dynamique1" cacheId="5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8" indent="0" outline="1" outlineData="1" multipleFieldFilters="0" chartFormat="6">
  <location ref="J49:L54" firstHeaderRow="0" firstDataRow="1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otal" fld="6" baseField="0" baseItem="0"/>
    <dataField name="Somme de Total2" fld="6" showDataAs="percentOfCol" baseField="0" baseItem="0" numFmtId="1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8F7F4-EBD9-4330-ABC3-9A9B8B50435B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I31:K36" firstHeaderRow="0" firstDataRow="1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otal" fld="6" baseField="0" baseItem="0"/>
    <dataField name="Somme de Total2" fld="6" showDataAs="percentOfCol" baseField="0" baseItem="3" numFmtId="10"/>
  </dataFields>
  <chartFormats count="6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E1595-ADDF-4241-9650-E2CC7A4EC76F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5">
  <location ref="G3:I8" firstHeaderRow="0" firstDataRow="1" firstDataCol="1"/>
  <pivotFields count="8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otal" fld="7" baseField="0" baseItem="0"/>
    <dataField name="Somme de Total2" fld="7" showDataAs="percentOfCol" baseField="0" baseItem="0" numFmtId="1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0FE41-C196-4840-A8AF-99FA5B05C382}" name="Tableau1" displayName="Tableau1" ref="A3:F4" totalsRowShown="0">
  <autoFilter ref="A3:F4" xr:uid="{ADB0FE41-C196-4840-A8AF-99FA5B05C382}"/>
  <tableColumns count="6">
    <tableColumn id="1" xr3:uid="{F5C6F4E8-42F5-426F-A322-5528D60CD361}" name="Processus"/>
    <tableColumn id="2" xr3:uid="{0B93E640-1321-45B1-8CF2-5B626A87720D}" name="PM02"/>
    <tableColumn id="3" xr3:uid="{50EF0A3F-1C0E-4E5C-B33E-29E1EA60EBA3}" name="PR01"/>
    <tableColumn id="4" xr3:uid="{F0A51FCB-25CF-4B32-8F9B-0717D30637F2}" name="PR04"/>
    <tableColumn id="5" xr3:uid="{6F6A1CFF-F779-4F99-9F10-9F225A255A8E}" name="PR042"/>
    <tableColumn id="6" xr3:uid="{37F79AA2-4645-4310-A372-39FF83439531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R51"/>
  <sheetViews>
    <sheetView topLeftCell="B1" workbookViewId="0">
      <selection activeCell="D30" sqref="D30"/>
    </sheetView>
  </sheetViews>
  <sheetFormatPr baseColWidth="10" defaultColWidth="11.42578125" defaultRowHeight="15" outlineLevelRow="1" x14ac:dyDescent="0.25"/>
  <cols>
    <col min="1" max="1" width="60.42578125" customWidth="1"/>
    <col min="3" max="3" width="14.140625" customWidth="1"/>
    <col min="4" max="4" width="12.7109375" style="11" customWidth="1"/>
    <col min="5" max="6" width="13.85546875" customWidth="1"/>
    <col min="7" max="7" width="12.7109375" customWidth="1"/>
    <col min="8" max="16" width="13.85546875" customWidth="1"/>
  </cols>
  <sheetData>
    <row r="1" spans="1:17" ht="59.25" customHeight="1" x14ac:dyDescent="0.25">
      <c r="A1" s="16" t="s">
        <v>0</v>
      </c>
      <c r="B1" s="16" t="s">
        <v>1</v>
      </c>
      <c r="C1" s="68" t="s">
        <v>2</v>
      </c>
      <c r="D1" s="67" t="s">
        <v>3</v>
      </c>
      <c r="E1" s="17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20" t="s">
        <v>11</v>
      </c>
      <c r="M1" s="19" t="s">
        <v>12</v>
      </c>
      <c r="N1" s="18" t="s">
        <v>13</v>
      </c>
      <c r="O1" s="19" t="s">
        <v>14</v>
      </c>
      <c r="P1" s="21" t="s">
        <v>15</v>
      </c>
      <c r="Q1" s="1" t="s">
        <v>133</v>
      </c>
    </row>
    <row r="2" spans="1:17" ht="25.5" customHeight="1" x14ac:dyDescent="0.25">
      <c r="A2" s="244" t="s">
        <v>16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6"/>
      <c r="Q2" s="1"/>
    </row>
    <row r="3" spans="1:17" ht="24.95" customHeight="1" x14ac:dyDescent="0.25">
      <c r="A3" s="14" t="s">
        <v>17</v>
      </c>
      <c r="B3" s="12" t="s">
        <v>18</v>
      </c>
      <c r="C3" s="52">
        <v>11</v>
      </c>
      <c r="D3" s="63">
        <f>SUM(E3:P3)</f>
        <v>9</v>
      </c>
      <c r="E3" s="124">
        <v>2</v>
      </c>
      <c r="F3" s="89">
        <v>0</v>
      </c>
      <c r="G3" s="91">
        <v>1</v>
      </c>
      <c r="H3" s="89">
        <v>1</v>
      </c>
      <c r="I3" s="90">
        <v>0</v>
      </c>
      <c r="J3" s="89">
        <v>2</v>
      </c>
      <c r="K3" s="89">
        <v>1</v>
      </c>
      <c r="L3" s="125">
        <v>0</v>
      </c>
      <c r="M3" s="126">
        <v>0</v>
      </c>
      <c r="N3" s="126">
        <v>0</v>
      </c>
      <c r="O3" s="126">
        <v>1</v>
      </c>
      <c r="P3" s="127">
        <v>1</v>
      </c>
    </row>
    <row r="4" spans="1:17" ht="24.95" customHeight="1" x14ac:dyDescent="0.25">
      <c r="A4" s="8" t="s">
        <v>19</v>
      </c>
      <c r="B4" s="2" t="s">
        <v>18</v>
      </c>
      <c r="C4" s="53">
        <v>0</v>
      </c>
      <c r="D4" s="64">
        <f t="shared" ref="D4:D8" si="0">SUM(E4:P4)</f>
        <v>0</v>
      </c>
      <c r="E4" s="91">
        <v>0</v>
      </c>
      <c r="F4" s="91">
        <v>0</v>
      </c>
      <c r="G4" s="128">
        <v>0</v>
      </c>
      <c r="H4" s="2">
        <v>0</v>
      </c>
      <c r="I4" s="128">
        <v>0</v>
      </c>
      <c r="J4" s="128">
        <v>0</v>
      </c>
      <c r="K4" s="128">
        <v>0</v>
      </c>
      <c r="L4" s="129">
        <v>0</v>
      </c>
      <c r="M4" s="128">
        <v>0</v>
      </c>
      <c r="N4" s="128">
        <v>0</v>
      </c>
      <c r="O4" s="128">
        <v>0</v>
      </c>
      <c r="P4" s="130">
        <v>0</v>
      </c>
    </row>
    <row r="5" spans="1:17" ht="24.95" customHeight="1" x14ac:dyDescent="0.25">
      <c r="A5" s="8" t="s">
        <v>20</v>
      </c>
      <c r="B5" s="2" t="s">
        <v>18</v>
      </c>
      <c r="C5" s="53">
        <v>8</v>
      </c>
      <c r="D5" s="207">
        <f>SUM(E5:P5)</f>
        <v>4</v>
      </c>
      <c r="E5" s="131">
        <v>1</v>
      </c>
      <c r="F5" s="128">
        <v>0</v>
      </c>
      <c r="G5" s="91">
        <v>1</v>
      </c>
      <c r="H5" s="91">
        <v>0</v>
      </c>
      <c r="I5" s="91">
        <v>0</v>
      </c>
      <c r="J5" s="128">
        <v>0</v>
      </c>
      <c r="K5" s="128">
        <v>0</v>
      </c>
      <c r="L5" s="129">
        <v>0</v>
      </c>
      <c r="M5" s="128">
        <v>0</v>
      </c>
      <c r="N5" s="128">
        <v>1</v>
      </c>
      <c r="O5" s="128">
        <v>0</v>
      </c>
      <c r="P5" s="132">
        <v>1</v>
      </c>
    </row>
    <row r="6" spans="1:17" ht="24.95" customHeight="1" x14ac:dyDescent="0.25">
      <c r="A6" s="4" t="s">
        <v>21</v>
      </c>
      <c r="B6" s="2" t="s">
        <v>18</v>
      </c>
      <c r="C6" s="53">
        <v>8</v>
      </c>
      <c r="D6" s="232">
        <f t="shared" si="0"/>
        <v>8</v>
      </c>
      <c r="E6" s="131">
        <v>1</v>
      </c>
      <c r="F6" s="128">
        <v>1</v>
      </c>
      <c r="G6" s="128">
        <v>0</v>
      </c>
      <c r="H6" s="91">
        <v>0</v>
      </c>
      <c r="I6" s="91">
        <v>0</v>
      </c>
      <c r="J6" s="91">
        <v>0</v>
      </c>
      <c r="K6" s="128">
        <v>0</v>
      </c>
      <c r="L6" s="129">
        <v>0</v>
      </c>
      <c r="M6" s="128">
        <v>0</v>
      </c>
      <c r="N6" s="128">
        <v>0</v>
      </c>
      <c r="O6" s="128">
        <v>4</v>
      </c>
      <c r="P6" s="130">
        <v>2</v>
      </c>
    </row>
    <row r="7" spans="1:17" ht="24.95" customHeight="1" x14ac:dyDescent="0.25">
      <c r="A7" s="4" t="s">
        <v>22</v>
      </c>
      <c r="B7" s="2" t="s">
        <v>18</v>
      </c>
      <c r="C7" s="53">
        <v>5</v>
      </c>
      <c r="D7" s="64">
        <f t="shared" si="0"/>
        <v>5</v>
      </c>
      <c r="E7" s="93">
        <v>0</v>
      </c>
      <c r="F7" s="91">
        <v>1</v>
      </c>
      <c r="G7" s="92">
        <v>0</v>
      </c>
      <c r="H7" s="92">
        <v>1</v>
      </c>
      <c r="I7" s="92">
        <v>1</v>
      </c>
      <c r="J7" s="133">
        <v>2</v>
      </c>
      <c r="K7" s="133">
        <v>0</v>
      </c>
      <c r="L7" s="133">
        <v>0</v>
      </c>
      <c r="M7" s="133">
        <v>0</v>
      </c>
      <c r="N7" s="133">
        <v>0</v>
      </c>
      <c r="O7" s="133">
        <v>0</v>
      </c>
      <c r="P7" s="134">
        <v>0</v>
      </c>
    </row>
    <row r="8" spans="1:17" ht="24.95" customHeight="1" x14ac:dyDescent="0.25">
      <c r="A8" s="4" t="s">
        <v>23</v>
      </c>
      <c r="B8" s="2" t="s">
        <v>18</v>
      </c>
      <c r="C8" s="53">
        <v>10</v>
      </c>
      <c r="D8" s="65">
        <f t="shared" si="0"/>
        <v>5</v>
      </c>
      <c r="E8" s="93">
        <v>0</v>
      </c>
      <c r="F8" s="91">
        <v>0</v>
      </c>
      <c r="G8" s="91">
        <v>0</v>
      </c>
      <c r="H8" s="128">
        <v>0</v>
      </c>
      <c r="I8" s="128">
        <v>0</v>
      </c>
      <c r="J8" s="128">
        <v>0</v>
      </c>
      <c r="K8" s="128">
        <v>0</v>
      </c>
      <c r="L8" s="129">
        <v>0</v>
      </c>
      <c r="M8" s="128">
        <v>0</v>
      </c>
      <c r="N8" s="128">
        <v>0</v>
      </c>
      <c r="O8" s="128">
        <v>3</v>
      </c>
      <c r="P8" s="130">
        <v>2</v>
      </c>
    </row>
    <row r="9" spans="1:17" ht="24.95" customHeight="1" x14ac:dyDescent="0.25">
      <c r="A9" s="8" t="s">
        <v>24</v>
      </c>
      <c r="B9" s="3" t="s">
        <v>25</v>
      </c>
      <c r="C9" s="54">
        <v>0.95</v>
      </c>
      <c r="D9" s="60">
        <f>AVERAGE(E9:P9)</f>
        <v>0.97</v>
      </c>
      <c r="E9" s="84"/>
      <c r="F9" s="85"/>
      <c r="G9" s="9">
        <v>0.97</v>
      </c>
      <c r="H9" s="85"/>
      <c r="I9" s="85"/>
      <c r="J9" s="9">
        <v>0.97</v>
      </c>
      <c r="K9" s="85"/>
      <c r="L9" s="86"/>
      <c r="M9" s="9">
        <v>0.97</v>
      </c>
      <c r="N9" s="85"/>
      <c r="O9" s="85"/>
      <c r="P9" s="10">
        <v>0.97</v>
      </c>
    </row>
    <row r="10" spans="1:17" ht="24.95" customHeight="1" x14ac:dyDescent="0.25">
      <c r="A10" s="8" t="s">
        <v>26</v>
      </c>
      <c r="B10" s="3" t="s">
        <v>25</v>
      </c>
      <c r="C10" s="54">
        <v>0.85</v>
      </c>
      <c r="D10" s="60">
        <v>0.91</v>
      </c>
      <c r="E10" s="84"/>
      <c r="F10" s="85"/>
      <c r="G10" s="9">
        <v>0.9</v>
      </c>
      <c r="H10" s="85"/>
      <c r="I10" s="85"/>
      <c r="J10" s="9">
        <v>0.9</v>
      </c>
      <c r="K10" s="85"/>
      <c r="L10" s="85"/>
      <c r="M10" s="9">
        <v>0.91</v>
      </c>
      <c r="N10" s="85"/>
      <c r="O10" s="85"/>
      <c r="P10" s="10">
        <v>0.91</v>
      </c>
    </row>
    <row r="11" spans="1:17" ht="24.95" customHeight="1" x14ac:dyDescent="0.25">
      <c r="A11" s="8" t="s">
        <v>27</v>
      </c>
      <c r="B11" s="3" t="s">
        <v>28</v>
      </c>
      <c r="C11" s="54">
        <v>0.95</v>
      </c>
      <c r="D11" s="60">
        <f t="shared" ref="D11:D12" si="1">AVERAGE(E11:P11)</f>
        <v>0.99</v>
      </c>
      <c r="E11" s="84"/>
      <c r="F11" s="85"/>
      <c r="G11" s="9">
        <v>0.99</v>
      </c>
      <c r="H11" s="85"/>
      <c r="I11" s="85"/>
      <c r="J11" s="9">
        <v>0.99</v>
      </c>
      <c r="K11" s="85"/>
      <c r="L11" s="85"/>
      <c r="M11" s="9">
        <v>0.99</v>
      </c>
      <c r="N11" s="87"/>
      <c r="O11" s="85"/>
      <c r="P11" s="10">
        <v>0.99</v>
      </c>
    </row>
    <row r="12" spans="1:17" ht="24.95" customHeight="1" x14ac:dyDescent="0.25">
      <c r="A12" s="8" t="s">
        <v>29</v>
      </c>
      <c r="B12" s="3" t="s">
        <v>28</v>
      </c>
      <c r="C12" s="54">
        <v>0.8</v>
      </c>
      <c r="D12" s="60">
        <f t="shared" si="1"/>
        <v>0.92</v>
      </c>
      <c r="E12" s="84"/>
      <c r="F12" s="85"/>
      <c r="G12" s="9">
        <v>0.92</v>
      </c>
      <c r="H12" s="85"/>
      <c r="I12" s="85"/>
      <c r="J12" s="9">
        <v>0.92</v>
      </c>
      <c r="K12" s="85"/>
      <c r="L12" s="85"/>
      <c r="M12" s="9">
        <v>0.92</v>
      </c>
      <c r="N12" s="87"/>
      <c r="O12" s="85"/>
      <c r="P12" s="10">
        <v>0.92</v>
      </c>
    </row>
    <row r="13" spans="1:17" x14ac:dyDescent="0.25">
      <c r="A13" s="250" t="s">
        <v>30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2"/>
    </row>
    <row r="14" spans="1:17" ht="24.95" customHeight="1" outlineLevel="1" x14ac:dyDescent="0.25">
      <c r="A14" s="4" t="s">
        <v>31</v>
      </c>
      <c r="B14" s="2" t="s">
        <v>32</v>
      </c>
      <c r="C14" s="53">
        <v>18</v>
      </c>
      <c r="D14" s="66"/>
      <c r="E14" s="131">
        <v>0</v>
      </c>
      <c r="F14" s="128">
        <v>0</v>
      </c>
      <c r="G14" s="128">
        <v>0</v>
      </c>
      <c r="H14" s="128">
        <v>0</v>
      </c>
      <c r="I14" s="128">
        <v>0</v>
      </c>
      <c r="J14" s="128">
        <v>0</v>
      </c>
      <c r="K14" s="128">
        <v>0</v>
      </c>
      <c r="L14" s="129">
        <v>0</v>
      </c>
      <c r="M14" s="128">
        <v>0</v>
      </c>
      <c r="N14" s="128">
        <v>0</v>
      </c>
      <c r="O14" s="128">
        <v>0</v>
      </c>
      <c r="P14" s="130">
        <v>0</v>
      </c>
    </row>
    <row r="15" spans="1:17" ht="24.95" customHeight="1" outlineLevel="1" x14ac:dyDescent="0.25">
      <c r="A15" s="4" t="s">
        <v>33</v>
      </c>
      <c r="B15" s="2" t="s">
        <v>32</v>
      </c>
      <c r="C15" s="55">
        <v>0.5</v>
      </c>
      <c r="D15" s="66"/>
      <c r="E15" s="131">
        <v>0</v>
      </c>
      <c r="F15" s="128">
        <v>0</v>
      </c>
      <c r="G15" s="128">
        <v>0</v>
      </c>
      <c r="H15" s="128">
        <v>0</v>
      </c>
      <c r="I15" s="128">
        <v>0</v>
      </c>
      <c r="J15" s="128">
        <v>0</v>
      </c>
      <c r="K15" s="128">
        <v>0</v>
      </c>
      <c r="L15" s="129">
        <v>0</v>
      </c>
      <c r="M15" s="128">
        <v>0</v>
      </c>
      <c r="N15" s="128">
        <v>0</v>
      </c>
      <c r="O15" s="128">
        <v>0</v>
      </c>
      <c r="P15" s="130">
        <v>0</v>
      </c>
    </row>
    <row r="16" spans="1:17" ht="24.95" customHeight="1" outlineLevel="1" x14ac:dyDescent="0.25">
      <c r="A16" s="8" t="s">
        <v>34</v>
      </c>
      <c r="B16" s="2" t="s">
        <v>32</v>
      </c>
      <c r="C16" s="56">
        <v>0</v>
      </c>
      <c r="D16" s="59"/>
      <c r="E16" s="131">
        <v>0</v>
      </c>
      <c r="F16" s="128">
        <v>0</v>
      </c>
      <c r="G16" s="131">
        <v>0</v>
      </c>
      <c r="H16" s="128">
        <v>0</v>
      </c>
      <c r="I16" s="128">
        <v>0</v>
      </c>
      <c r="J16" s="128">
        <v>0</v>
      </c>
      <c r="K16" s="128">
        <v>0</v>
      </c>
      <c r="L16" s="129">
        <v>0</v>
      </c>
      <c r="M16" s="128">
        <v>0</v>
      </c>
      <c r="N16" s="128">
        <v>0</v>
      </c>
      <c r="O16" s="128">
        <v>0</v>
      </c>
      <c r="P16" s="130">
        <v>0</v>
      </c>
    </row>
    <row r="17" spans="1:18" ht="24.95" customHeight="1" outlineLevel="1" x14ac:dyDescent="0.25">
      <c r="A17" s="8" t="s">
        <v>35</v>
      </c>
      <c r="B17" s="2" t="s">
        <v>32</v>
      </c>
      <c r="C17" s="56">
        <v>0</v>
      </c>
      <c r="D17" s="59"/>
      <c r="E17" s="131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9">
        <v>0</v>
      </c>
      <c r="M17" s="128">
        <v>0</v>
      </c>
      <c r="N17" s="128">
        <v>0</v>
      </c>
      <c r="O17" s="128">
        <v>0</v>
      </c>
      <c r="P17" s="130">
        <v>0</v>
      </c>
    </row>
    <row r="18" spans="1:18" ht="24.95" customHeight="1" outlineLevel="1" x14ac:dyDescent="0.25">
      <c r="A18" s="8" t="s">
        <v>36</v>
      </c>
      <c r="B18" s="2" t="s">
        <v>32</v>
      </c>
      <c r="C18" s="56">
        <v>1</v>
      </c>
      <c r="D18" s="59"/>
      <c r="E18" s="131">
        <v>0</v>
      </c>
      <c r="F18" s="128">
        <v>0</v>
      </c>
      <c r="G18" s="128">
        <v>0</v>
      </c>
      <c r="H18" s="128">
        <v>0</v>
      </c>
      <c r="I18" s="128">
        <v>0</v>
      </c>
      <c r="J18" s="128">
        <v>0</v>
      </c>
      <c r="K18" s="128">
        <v>0</v>
      </c>
      <c r="L18" s="129">
        <v>0</v>
      </c>
      <c r="M18" s="128">
        <v>0</v>
      </c>
      <c r="N18" s="128">
        <v>0</v>
      </c>
      <c r="O18" s="128">
        <v>0</v>
      </c>
      <c r="P18" s="130">
        <v>0</v>
      </c>
    </row>
    <row r="19" spans="1:18" ht="24.95" customHeight="1" outlineLevel="1" x14ac:dyDescent="0.25">
      <c r="A19" s="8" t="s">
        <v>37</v>
      </c>
      <c r="B19" s="2" t="s">
        <v>32</v>
      </c>
      <c r="C19" s="57">
        <v>1</v>
      </c>
      <c r="D19" s="60"/>
      <c r="E19" s="147"/>
      <c r="F19" s="147"/>
      <c r="G19" s="147"/>
      <c r="H19" s="147"/>
      <c r="I19" s="147"/>
      <c r="J19" s="147"/>
      <c r="K19" s="147"/>
      <c r="L19" s="128"/>
      <c r="M19" s="147"/>
      <c r="N19" s="147"/>
      <c r="O19" s="147"/>
      <c r="P19" s="152"/>
    </row>
    <row r="20" spans="1:18" ht="24.95" customHeight="1" outlineLevel="1" x14ac:dyDescent="0.25">
      <c r="A20" s="4" t="s">
        <v>38</v>
      </c>
      <c r="B20" s="2" t="s">
        <v>32</v>
      </c>
      <c r="C20" s="53">
        <v>8</v>
      </c>
      <c r="D20" s="59"/>
      <c r="E20" s="88"/>
      <c r="F20" s="128"/>
      <c r="G20" s="2"/>
      <c r="H20" s="2"/>
      <c r="I20" s="2"/>
      <c r="J20" s="2"/>
      <c r="K20" s="2"/>
      <c r="L20" s="88"/>
      <c r="M20" s="88"/>
      <c r="N20" s="2"/>
      <c r="O20" s="2"/>
      <c r="P20" s="130"/>
    </row>
    <row r="21" spans="1:18" x14ac:dyDescent="0.25">
      <c r="A21" s="247" t="s">
        <v>39</v>
      </c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9"/>
    </row>
    <row r="22" spans="1:18" ht="24.95" customHeight="1" outlineLevel="1" x14ac:dyDescent="0.25">
      <c r="A22" s="4" t="s">
        <v>31</v>
      </c>
      <c r="B22" s="2" t="s">
        <v>40</v>
      </c>
      <c r="C22" s="53">
        <v>15</v>
      </c>
      <c r="D22" s="169">
        <v>19.260000000000002</v>
      </c>
      <c r="E22" s="143">
        <v>0</v>
      </c>
      <c r="F22" s="136">
        <v>0</v>
      </c>
      <c r="G22" s="136">
        <v>60.37</v>
      </c>
      <c r="H22" s="136">
        <v>47.67</v>
      </c>
      <c r="I22" s="136">
        <v>40.64</v>
      </c>
      <c r="J22" s="136">
        <v>35.31</v>
      </c>
      <c r="K22" s="136">
        <v>31.29</v>
      </c>
      <c r="L22" s="139">
        <v>29.75</v>
      </c>
      <c r="M22" s="136">
        <v>38.94</v>
      </c>
      <c r="N22" s="136">
        <v>34.08</v>
      </c>
      <c r="O22" s="136">
        <v>31.12</v>
      </c>
      <c r="P22" s="138">
        <v>28.9</v>
      </c>
    </row>
    <row r="23" spans="1:18" ht="24.95" customHeight="1" outlineLevel="1" x14ac:dyDescent="0.25">
      <c r="A23" s="4" t="s">
        <v>33</v>
      </c>
      <c r="B23" s="2" t="s">
        <v>40</v>
      </c>
      <c r="C23" s="154">
        <v>0.35</v>
      </c>
      <c r="D23" s="182"/>
      <c r="E23" s="143">
        <v>0</v>
      </c>
      <c r="F23" s="136">
        <v>0</v>
      </c>
      <c r="G23" s="136">
        <v>0.09</v>
      </c>
      <c r="H23" s="136">
        <v>0.79</v>
      </c>
      <c r="I23" s="136">
        <v>0.67</v>
      </c>
      <c r="J23" s="136">
        <v>0.57999999999999996</v>
      </c>
      <c r="K23" s="136">
        <v>0.52</v>
      </c>
      <c r="L23" s="139">
        <v>0.49</v>
      </c>
      <c r="M23" s="136">
        <v>0.48</v>
      </c>
      <c r="N23" s="136">
        <v>0.42</v>
      </c>
      <c r="O23" s="136">
        <v>0.38</v>
      </c>
      <c r="P23" s="138">
        <v>0.36</v>
      </c>
      <c r="Q23" s="181">
        <v>0.32</v>
      </c>
    </row>
    <row r="24" spans="1:18" ht="24.95" customHeight="1" outlineLevel="1" x14ac:dyDescent="0.25">
      <c r="A24" s="8" t="s">
        <v>34</v>
      </c>
      <c r="B24" s="2" t="s">
        <v>32</v>
      </c>
      <c r="C24" s="56">
        <v>2</v>
      </c>
      <c r="D24" s="59">
        <f>SUM(E24:P24)</f>
        <v>3</v>
      </c>
      <c r="E24" s="149">
        <v>0</v>
      </c>
      <c r="F24" s="137">
        <v>0</v>
      </c>
      <c r="G24" s="184">
        <v>2</v>
      </c>
      <c r="H24" s="150">
        <v>0</v>
      </c>
      <c r="I24" s="137">
        <v>0</v>
      </c>
      <c r="J24" s="137">
        <v>0</v>
      </c>
      <c r="K24" s="137">
        <v>0</v>
      </c>
      <c r="L24" s="135">
        <v>0</v>
      </c>
      <c r="M24" s="137">
        <v>0</v>
      </c>
      <c r="N24" s="137">
        <v>0</v>
      </c>
      <c r="O24" s="184">
        <v>1</v>
      </c>
      <c r="P24" s="151">
        <v>0</v>
      </c>
    </row>
    <row r="25" spans="1:18" ht="24.95" customHeight="1" outlineLevel="1" x14ac:dyDescent="0.25">
      <c r="A25" s="8" t="s">
        <v>35</v>
      </c>
      <c r="B25" s="2" t="s">
        <v>32</v>
      </c>
      <c r="C25" s="56">
        <v>1</v>
      </c>
      <c r="D25" s="59">
        <f>SUM(E25:P25)</f>
        <v>2</v>
      </c>
      <c r="E25" s="131">
        <v>0</v>
      </c>
      <c r="F25" s="128">
        <v>0</v>
      </c>
      <c r="G25" s="128">
        <v>0</v>
      </c>
      <c r="H25" s="128">
        <v>0</v>
      </c>
      <c r="I25" s="88">
        <v>0</v>
      </c>
      <c r="J25" s="128">
        <v>0</v>
      </c>
      <c r="K25" s="183">
        <v>1</v>
      </c>
      <c r="L25" s="129">
        <v>0</v>
      </c>
      <c r="M25" s="183">
        <v>1</v>
      </c>
      <c r="N25" s="128">
        <v>0</v>
      </c>
      <c r="O25" s="88">
        <v>0</v>
      </c>
      <c r="P25" s="130">
        <v>0</v>
      </c>
    </row>
    <row r="26" spans="1:18" ht="24.95" customHeight="1" outlineLevel="1" x14ac:dyDescent="0.25">
      <c r="A26" s="8" t="s">
        <v>36</v>
      </c>
      <c r="B26" s="2" t="s">
        <v>32</v>
      </c>
      <c r="C26" s="155" t="s">
        <v>41</v>
      </c>
      <c r="D26" s="59">
        <v>5</v>
      </c>
      <c r="E26" s="179" t="s">
        <v>41</v>
      </c>
      <c r="F26" s="179" t="s">
        <v>41</v>
      </c>
      <c r="G26" s="185">
        <v>2</v>
      </c>
      <c r="H26" s="179" t="s">
        <v>41</v>
      </c>
      <c r="I26" s="179" t="s">
        <v>41</v>
      </c>
      <c r="J26" s="179" t="s">
        <v>41</v>
      </c>
      <c r="K26" s="185">
        <v>1</v>
      </c>
      <c r="L26" s="179" t="s">
        <v>41</v>
      </c>
      <c r="M26" s="185">
        <v>1</v>
      </c>
      <c r="N26" s="179" t="s">
        <v>41</v>
      </c>
      <c r="O26" s="185">
        <v>1</v>
      </c>
      <c r="P26" s="179" t="s">
        <v>41</v>
      </c>
    </row>
    <row r="27" spans="1:18" ht="24.95" customHeight="1" outlineLevel="1" x14ac:dyDescent="0.25">
      <c r="A27" s="8" t="s">
        <v>37</v>
      </c>
      <c r="B27" s="2" t="s">
        <v>32</v>
      </c>
      <c r="C27" s="57">
        <v>1</v>
      </c>
      <c r="D27" s="174">
        <f>AVERAGE(E27:P27)</f>
        <v>1</v>
      </c>
      <c r="E27" s="175" t="s">
        <v>41</v>
      </c>
      <c r="F27" s="176" t="s">
        <v>41</v>
      </c>
      <c r="G27" s="176">
        <v>1</v>
      </c>
      <c r="H27" s="177" t="s">
        <v>41</v>
      </c>
      <c r="I27" s="177" t="s">
        <v>41</v>
      </c>
      <c r="J27" s="177" t="s">
        <v>41</v>
      </c>
      <c r="K27" s="177">
        <v>1</v>
      </c>
      <c r="L27" s="177" t="s">
        <v>41</v>
      </c>
      <c r="M27" s="177">
        <v>1</v>
      </c>
      <c r="N27" s="177" t="s">
        <v>41</v>
      </c>
      <c r="O27" s="177">
        <v>1</v>
      </c>
      <c r="P27" s="178" t="s">
        <v>41</v>
      </c>
    </row>
    <row r="28" spans="1:18" ht="24.95" customHeight="1" outlineLevel="1" x14ac:dyDescent="0.25">
      <c r="A28" s="4" t="s">
        <v>38</v>
      </c>
      <c r="B28" s="2" t="s">
        <v>32</v>
      </c>
      <c r="C28" s="53">
        <v>10</v>
      </c>
      <c r="D28" s="59">
        <f>SUM(E28:P28)</f>
        <v>2</v>
      </c>
      <c r="E28" s="153">
        <v>0</v>
      </c>
      <c r="F28" s="128">
        <v>0</v>
      </c>
      <c r="G28" s="2">
        <v>0</v>
      </c>
      <c r="H28" s="88">
        <v>0</v>
      </c>
      <c r="I28" s="88">
        <v>0</v>
      </c>
      <c r="J28" s="88">
        <v>0</v>
      </c>
      <c r="K28" s="183">
        <v>1</v>
      </c>
      <c r="L28" s="140">
        <v>0</v>
      </c>
      <c r="M28" s="128">
        <v>0</v>
      </c>
      <c r="N28" s="128">
        <v>0</v>
      </c>
      <c r="O28" s="183">
        <v>1</v>
      </c>
      <c r="P28" s="141">
        <v>0</v>
      </c>
    </row>
    <row r="29" spans="1:18" x14ac:dyDescent="0.25">
      <c r="A29" s="253" t="s">
        <v>42</v>
      </c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5"/>
    </row>
    <row r="30" spans="1:18" ht="24.95" customHeight="1" outlineLevel="1" x14ac:dyDescent="0.25">
      <c r="A30" s="4" t="s">
        <v>31</v>
      </c>
      <c r="B30" s="2" t="s">
        <v>32</v>
      </c>
      <c r="C30" s="53">
        <v>25</v>
      </c>
      <c r="D30" s="61">
        <v>53.47</v>
      </c>
      <c r="E30" s="143">
        <v>27.841618221670927</v>
      </c>
      <c r="F30" s="143">
        <v>35.72676456276514</v>
      </c>
      <c r="G30" s="136">
        <v>43.645559358942755</v>
      </c>
      <c r="H30" s="136">
        <v>44.803108260438677</v>
      </c>
      <c r="I30" s="136">
        <v>46.438032624885025</v>
      </c>
      <c r="J30" s="136">
        <v>40.254343041070697</v>
      </c>
      <c r="K30" s="136">
        <v>42.795970297200043</v>
      </c>
      <c r="L30" s="139">
        <v>43.814213015239808</v>
      </c>
      <c r="M30" s="136">
        <v>45.370733336237059</v>
      </c>
      <c r="N30" s="136">
        <v>57.308232327573855</v>
      </c>
      <c r="O30" s="136">
        <v>51.335756381034514</v>
      </c>
      <c r="P30" s="138">
        <v>53.46650056407158</v>
      </c>
      <c r="R30" s="237"/>
    </row>
    <row r="31" spans="1:18" ht="24.95" customHeight="1" outlineLevel="1" x14ac:dyDescent="0.25">
      <c r="A31" s="4" t="s">
        <v>33</v>
      </c>
      <c r="B31" s="2" t="s">
        <v>32</v>
      </c>
      <c r="C31" s="55">
        <v>0.8</v>
      </c>
      <c r="D31" s="61">
        <v>0.67</v>
      </c>
      <c r="E31" s="143">
        <v>0.95357542409222928</v>
      </c>
      <c r="F31" s="143">
        <v>1.1361111130959312</v>
      </c>
      <c r="G31" s="136">
        <v>1.1638815829051401</v>
      </c>
      <c r="H31" s="136">
        <v>1.388896356073599</v>
      </c>
      <c r="I31" s="136">
        <v>1.3776616345382557</v>
      </c>
      <c r="J31" s="136">
        <v>1.312291583138905</v>
      </c>
      <c r="K31" s="136">
        <v>1.1982871683216012</v>
      </c>
      <c r="L31" s="139">
        <v>1.0340154271596596</v>
      </c>
      <c r="M31" s="136">
        <v>0.8892663733902465</v>
      </c>
      <c r="N31" s="136">
        <v>0.97423994956875559</v>
      </c>
      <c r="O31" s="136">
        <v>0.88297500975379373</v>
      </c>
      <c r="P31" s="138">
        <v>0.67367790710730191</v>
      </c>
      <c r="R31" s="237"/>
    </row>
    <row r="32" spans="1:18" ht="24.95" customHeight="1" outlineLevel="1" x14ac:dyDescent="0.25">
      <c r="A32" s="8" t="s">
        <v>35</v>
      </c>
      <c r="B32" s="2" t="s">
        <v>32</v>
      </c>
      <c r="C32" s="56">
        <v>2</v>
      </c>
      <c r="D32" s="95">
        <f>SUM(E32:P32)</f>
        <v>5</v>
      </c>
      <c r="E32" s="131">
        <v>0</v>
      </c>
      <c r="F32" s="238">
        <v>1</v>
      </c>
      <c r="G32" s="183">
        <v>2</v>
      </c>
      <c r="H32" s="183">
        <v>1</v>
      </c>
      <c r="I32" s="88">
        <v>0</v>
      </c>
      <c r="J32" s="88">
        <v>0</v>
      </c>
      <c r="K32" s="137">
        <v>0</v>
      </c>
      <c r="L32" s="129">
        <v>0</v>
      </c>
      <c r="M32" s="128">
        <v>0</v>
      </c>
      <c r="N32" s="183">
        <v>1</v>
      </c>
      <c r="O32" s="88">
        <v>0</v>
      </c>
      <c r="P32" s="130">
        <v>0</v>
      </c>
      <c r="R32" s="237"/>
    </row>
    <row r="33" spans="1:18" ht="24.95" customHeight="1" outlineLevel="1" x14ac:dyDescent="0.25">
      <c r="A33" s="8" t="s">
        <v>34</v>
      </c>
      <c r="B33" s="2" t="s">
        <v>32</v>
      </c>
      <c r="C33" s="56">
        <v>3</v>
      </c>
      <c r="D33" s="95">
        <f>SUM(E33:P33)</f>
        <v>1</v>
      </c>
      <c r="E33" s="131">
        <v>0</v>
      </c>
      <c r="F33" s="131">
        <v>0</v>
      </c>
      <c r="G33" s="128">
        <v>0</v>
      </c>
      <c r="H33" s="128">
        <v>0</v>
      </c>
      <c r="I33" s="88">
        <v>0</v>
      </c>
      <c r="J33" s="128">
        <v>0</v>
      </c>
      <c r="K33" s="137">
        <v>0</v>
      </c>
      <c r="L33" s="144">
        <v>0</v>
      </c>
      <c r="M33" s="128">
        <v>0</v>
      </c>
      <c r="N33" s="128">
        <v>0</v>
      </c>
      <c r="O33" s="183">
        <v>1</v>
      </c>
      <c r="P33" s="130">
        <v>0</v>
      </c>
      <c r="R33" s="237"/>
    </row>
    <row r="34" spans="1:18" ht="24.95" customHeight="1" outlineLevel="1" x14ac:dyDescent="0.25">
      <c r="A34" s="8" t="s">
        <v>43</v>
      </c>
      <c r="B34" s="2" t="s">
        <v>32</v>
      </c>
      <c r="C34" s="56">
        <v>0</v>
      </c>
      <c r="D34" s="95">
        <f>SUM(E34:P34)</f>
        <v>1</v>
      </c>
      <c r="E34" s="131">
        <v>0</v>
      </c>
      <c r="F34" s="131">
        <v>0</v>
      </c>
      <c r="G34" s="128">
        <v>0</v>
      </c>
      <c r="H34" s="128">
        <v>0</v>
      </c>
      <c r="I34" s="128">
        <v>0</v>
      </c>
      <c r="J34" s="184">
        <v>1</v>
      </c>
      <c r="K34" s="129">
        <v>0</v>
      </c>
      <c r="L34" s="129">
        <v>0</v>
      </c>
      <c r="M34" s="128">
        <v>0</v>
      </c>
      <c r="N34" s="128">
        <v>0</v>
      </c>
      <c r="O34" s="88">
        <v>0</v>
      </c>
      <c r="P34" s="130">
        <v>0</v>
      </c>
      <c r="R34" s="237"/>
    </row>
    <row r="35" spans="1:18" ht="24.95" customHeight="1" outlineLevel="1" x14ac:dyDescent="0.25">
      <c r="A35" s="8" t="s">
        <v>44</v>
      </c>
      <c r="B35" s="2" t="s">
        <v>32</v>
      </c>
      <c r="C35" s="56" t="s">
        <v>41</v>
      </c>
      <c r="D35" s="59">
        <v>7</v>
      </c>
      <c r="E35" s="145">
        <v>0</v>
      </c>
      <c r="F35" s="239">
        <v>1</v>
      </c>
      <c r="G35" s="240">
        <v>2</v>
      </c>
      <c r="H35" s="241">
        <v>1</v>
      </c>
      <c r="I35" s="91">
        <v>0</v>
      </c>
      <c r="J35" s="241">
        <v>1</v>
      </c>
      <c r="K35" s="145">
        <v>0</v>
      </c>
      <c r="L35" s="146">
        <v>0</v>
      </c>
      <c r="M35" s="145">
        <v>0</v>
      </c>
      <c r="N35" s="239">
        <v>1</v>
      </c>
      <c r="O35" s="241">
        <v>1</v>
      </c>
      <c r="P35" s="134">
        <v>0</v>
      </c>
      <c r="R35" s="237"/>
    </row>
    <row r="36" spans="1:18" ht="24.95" customHeight="1" outlineLevel="1" x14ac:dyDescent="0.25">
      <c r="A36" s="8" t="s">
        <v>45</v>
      </c>
      <c r="B36" s="3" t="s">
        <v>32</v>
      </c>
      <c r="C36" s="57">
        <v>1</v>
      </c>
      <c r="D36" s="60">
        <v>1</v>
      </c>
      <c r="E36" s="147" t="s">
        <v>41</v>
      </c>
      <c r="F36" s="147">
        <v>1</v>
      </c>
      <c r="G36" s="148">
        <v>1</v>
      </c>
      <c r="H36" s="148">
        <v>1</v>
      </c>
      <c r="I36" s="148" t="s">
        <v>41</v>
      </c>
      <c r="J36" s="148">
        <v>1</v>
      </c>
      <c r="K36" s="148" t="s">
        <v>41</v>
      </c>
      <c r="L36" s="148" t="s">
        <v>41</v>
      </c>
      <c r="M36" s="148" t="s">
        <v>41</v>
      </c>
      <c r="N36" s="147">
        <v>1</v>
      </c>
      <c r="O36" s="148">
        <v>1</v>
      </c>
      <c r="P36" s="134" t="s">
        <v>41</v>
      </c>
      <c r="R36" s="237"/>
    </row>
    <row r="37" spans="1:18" ht="24.95" customHeight="1" outlineLevel="1" x14ac:dyDescent="0.25">
      <c r="A37" s="4" t="s">
        <v>38</v>
      </c>
      <c r="B37" s="2" t="s">
        <v>32</v>
      </c>
      <c r="C37" s="53">
        <v>1</v>
      </c>
      <c r="D37" s="59">
        <v>0</v>
      </c>
      <c r="E37" s="131">
        <v>0</v>
      </c>
      <c r="F37" s="128">
        <v>0</v>
      </c>
      <c r="G37" s="128">
        <v>0</v>
      </c>
      <c r="H37" s="128">
        <v>0</v>
      </c>
      <c r="I37" s="128">
        <v>0</v>
      </c>
      <c r="J37" s="128">
        <v>0</v>
      </c>
      <c r="K37" s="128">
        <v>0</v>
      </c>
      <c r="L37" s="129">
        <v>0</v>
      </c>
      <c r="M37" s="128">
        <v>0</v>
      </c>
      <c r="N37" s="128">
        <v>0</v>
      </c>
      <c r="O37" s="128">
        <v>0</v>
      </c>
      <c r="P37" s="130">
        <v>0</v>
      </c>
      <c r="R37" s="237"/>
    </row>
    <row r="38" spans="1:18" x14ac:dyDescent="0.25">
      <c r="A38" s="256" t="s">
        <v>46</v>
      </c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8"/>
      <c r="R38" s="237"/>
    </row>
    <row r="39" spans="1:18" ht="24.95" customHeight="1" outlineLevel="1" x14ac:dyDescent="0.25">
      <c r="A39" s="4" t="s">
        <v>31</v>
      </c>
      <c r="B39" s="2" t="s">
        <v>32</v>
      </c>
      <c r="C39" s="53">
        <v>40</v>
      </c>
      <c r="D39" s="61"/>
      <c r="E39" s="131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9">
        <v>0</v>
      </c>
      <c r="M39" s="128">
        <v>0</v>
      </c>
      <c r="N39" s="128">
        <v>0</v>
      </c>
      <c r="O39" s="128">
        <v>0</v>
      </c>
      <c r="P39" s="130">
        <v>0</v>
      </c>
      <c r="R39" s="237"/>
    </row>
    <row r="40" spans="1:18" ht="24.95" customHeight="1" outlineLevel="1" x14ac:dyDescent="0.25">
      <c r="A40" s="4" t="s">
        <v>33</v>
      </c>
      <c r="B40" s="2" t="s">
        <v>32</v>
      </c>
      <c r="C40" s="55">
        <v>0.4</v>
      </c>
      <c r="D40" s="61"/>
      <c r="E40" s="131">
        <v>0</v>
      </c>
      <c r="F40" s="128">
        <v>0</v>
      </c>
      <c r="G40" s="128">
        <v>0</v>
      </c>
      <c r="H40" s="128">
        <v>0</v>
      </c>
      <c r="I40" s="128">
        <v>0</v>
      </c>
      <c r="J40" s="128">
        <v>0</v>
      </c>
      <c r="K40" s="128">
        <v>0</v>
      </c>
      <c r="L40" s="129">
        <v>0</v>
      </c>
      <c r="M40" s="128">
        <v>0</v>
      </c>
      <c r="N40" s="128">
        <v>0</v>
      </c>
      <c r="O40" s="128">
        <v>0</v>
      </c>
      <c r="P40" s="130">
        <v>0</v>
      </c>
      <c r="R40" s="237"/>
    </row>
    <row r="41" spans="1:18" ht="24.95" customHeight="1" outlineLevel="1" x14ac:dyDescent="0.25">
      <c r="A41" s="8" t="s">
        <v>34</v>
      </c>
      <c r="B41" s="2" t="s">
        <v>32</v>
      </c>
      <c r="C41" s="56" t="s">
        <v>41</v>
      </c>
      <c r="D41" s="59"/>
      <c r="E41" s="131">
        <v>0</v>
      </c>
      <c r="F41" s="128">
        <v>0</v>
      </c>
      <c r="G41" s="131">
        <v>0</v>
      </c>
      <c r="H41" s="128">
        <v>0</v>
      </c>
      <c r="I41" s="128">
        <v>0</v>
      </c>
      <c r="J41" s="128">
        <v>0</v>
      </c>
      <c r="K41" s="128">
        <v>0</v>
      </c>
      <c r="L41" s="129">
        <v>0</v>
      </c>
      <c r="M41" s="128">
        <v>0</v>
      </c>
      <c r="N41" s="128">
        <v>0</v>
      </c>
      <c r="O41" s="128">
        <v>0</v>
      </c>
      <c r="P41" s="130">
        <v>0</v>
      </c>
      <c r="R41" s="237"/>
    </row>
    <row r="42" spans="1:18" ht="24.95" customHeight="1" outlineLevel="1" x14ac:dyDescent="0.25">
      <c r="A42" s="8" t="s">
        <v>35</v>
      </c>
      <c r="B42" s="2" t="s">
        <v>32</v>
      </c>
      <c r="C42" s="56" t="s">
        <v>41</v>
      </c>
      <c r="D42" s="59"/>
      <c r="E42" s="131">
        <v>0</v>
      </c>
      <c r="F42" s="128">
        <v>0</v>
      </c>
      <c r="G42" s="128">
        <v>0</v>
      </c>
      <c r="H42" s="128">
        <v>0</v>
      </c>
      <c r="I42" s="128">
        <v>0</v>
      </c>
      <c r="J42" s="128">
        <v>0</v>
      </c>
      <c r="K42" s="128">
        <v>0</v>
      </c>
      <c r="L42" s="129">
        <v>0</v>
      </c>
      <c r="M42" s="128">
        <v>0</v>
      </c>
      <c r="N42" s="128">
        <v>0</v>
      </c>
      <c r="O42" s="128">
        <v>0</v>
      </c>
      <c r="P42" s="130">
        <v>0</v>
      </c>
    </row>
    <row r="43" spans="1:18" ht="24.95" customHeight="1" outlineLevel="1" x14ac:dyDescent="0.25">
      <c r="A43" s="8" t="s">
        <v>47</v>
      </c>
      <c r="B43" s="2" t="s">
        <v>32</v>
      </c>
      <c r="C43" s="56" t="s">
        <v>41</v>
      </c>
      <c r="D43" s="59"/>
      <c r="E43" s="131">
        <v>0</v>
      </c>
      <c r="F43" s="128">
        <v>0</v>
      </c>
      <c r="G43" s="128">
        <v>0</v>
      </c>
      <c r="H43" s="128">
        <v>0</v>
      </c>
      <c r="I43" s="128">
        <v>0</v>
      </c>
      <c r="J43" s="128">
        <v>0</v>
      </c>
      <c r="K43" s="128">
        <v>0</v>
      </c>
      <c r="L43" s="129">
        <v>0</v>
      </c>
      <c r="M43" s="128">
        <v>0</v>
      </c>
      <c r="N43" s="128">
        <v>0</v>
      </c>
      <c r="O43" s="128">
        <v>0</v>
      </c>
      <c r="P43" s="130">
        <v>0</v>
      </c>
    </row>
    <row r="44" spans="1:18" ht="24.95" customHeight="1" outlineLevel="1" x14ac:dyDescent="0.25">
      <c r="A44" s="15" t="s">
        <v>37</v>
      </c>
      <c r="B44" s="13" t="s">
        <v>32</v>
      </c>
      <c r="C44" s="58">
        <v>1</v>
      </c>
      <c r="D44" s="62"/>
      <c r="E44" s="94"/>
      <c r="F44" s="133"/>
      <c r="G44" s="133"/>
      <c r="H44" s="133"/>
      <c r="I44" s="133"/>
      <c r="J44" s="133"/>
      <c r="K44" s="133"/>
      <c r="L44" s="142"/>
      <c r="M44" s="133"/>
      <c r="N44" s="133"/>
      <c r="O44" s="133"/>
      <c r="P44" s="134"/>
    </row>
    <row r="45" spans="1:18" x14ac:dyDescent="0.25">
      <c r="A45" s="5" t="s">
        <v>48</v>
      </c>
      <c r="B45" s="6"/>
      <c r="C45" s="6"/>
      <c r="D45" s="22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7"/>
    </row>
    <row r="46" spans="1:18" ht="24.95" customHeight="1" outlineLevel="1" x14ac:dyDescent="0.25">
      <c r="A46" s="4" t="s">
        <v>31</v>
      </c>
      <c r="B46" s="2" t="s">
        <v>32</v>
      </c>
      <c r="C46" s="53">
        <v>50</v>
      </c>
      <c r="D46" s="61">
        <v>64.14</v>
      </c>
      <c r="E46" s="156">
        <v>49.86</v>
      </c>
      <c r="F46" s="156">
        <v>45.72</v>
      </c>
      <c r="G46" s="156">
        <v>48.62</v>
      </c>
      <c r="H46" s="156">
        <v>37.700000000000003</v>
      </c>
      <c r="I46" s="156">
        <v>41.72</v>
      </c>
      <c r="J46" s="156">
        <v>44.13</v>
      </c>
      <c r="K46" s="156">
        <v>46.6</v>
      </c>
      <c r="L46" s="157">
        <v>39.96</v>
      </c>
      <c r="M46" s="158">
        <v>42.03</v>
      </c>
      <c r="N46" s="158">
        <v>51.88</v>
      </c>
      <c r="O46" s="158">
        <v>64.569999999999993</v>
      </c>
      <c r="P46" s="159">
        <v>64.14</v>
      </c>
      <c r="Q46" s="186">
        <v>64.14</v>
      </c>
    </row>
    <row r="47" spans="1:18" ht="24.95" customHeight="1" outlineLevel="1" x14ac:dyDescent="0.25">
      <c r="A47" s="4" t="s">
        <v>33</v>
      </c>
      <c r="B47" s="2" t="s">
        <v>32</v>
      </c>
      <c r="C47" s="55">
        <v>1</v>
      </c>
      <c r="D47" s="61">
        <v>2.2799999999999998</v>
      </c>
      <c r="E47" s="156">
        <v>3.19</v>
      </c>
      <c r="F47" s="156">
        <v>2.91</v>
      </c>
      <c r="G47" s="156">
        <v>2.72</v>
      </c>
      <c r="H47" s="156">
        <v>2.41</v>
      </c>
      <c r="I47" s="156">
        <v>2.12</v>
      </c>
      <c r="J47" s="156">
        <v>1.89</v>
      </c>
      <c r="K47" s="156">
        <v>2</v>
      </c>
      <c r="L47" s="157">
        <v>2.42</v>
      </c>
      <c r="M47" s="158">
        <v>1.99</v>
      </c>
      <c r="N47" s="158">
        <v>2.95</v>
      </c>
      <c r="O47" s="158">
        <v>1.85</v>
      </c>
      <c r="P47" s="159">
        <v>2.2799999999999998</v>
      </c>
      <c r="Q47" s="186">
        <v>2.2799999999999998</v>
      </c>
    </row>
    <row r="48" spans="1:18" ht="24.95" customHeight="1" outlineLevel="1" x14ac:dyDescent="0.25">
      <c r="A48" s="8" t="s">
        <v>34</v>
      </c>
      <c r="B48" s="2" t="s">
        <v>32</v>
      </c>
      <c r="C48" s="56">
        <v>3</v>
      </c>
      <c r="D48" s="95">
        <f>SUM(E48:P48)</f>
        <v>10</v>
      </c>
      <c r="E48" s="160">
        <v>0</v>
      </c>
      <c r="F48" s="3">
        <v>0</v>
      </c>
      <c r="G48" s="3">
        <v>3</v>
      </c>
      <c r="H48" s="3">
        <v>1</v>
      </c>
      <c r="I48" s="161">
        <v>1</v>
      </c>
      <c r="J48" s="3">
        <v>1</v>
      </c>
      <c r="K48" s="161">
        <v>1</v>
      </c>
      <c r="L48" s="162">
        <v>0</v>
      </c>
      <c r="M48" s="161">
        <v>0</v>
      </c>
      <c r="N48" s="161">
        <v>2</v>
      </c>
      <c r="O48" s="163">
        <v>1</v>
      </c>
      <c r="P48" s="164">
        <v>0</v>
      </c>
    </row>
    <row r="49" spans="1:16" ht="24.95" customHeight="1" outlineLevel="1" x14ac:dyDescent="0.25">
      <c r="A49" s="8" t="s">
        <v>35</v>
      </c>
      <c r="B49" s="2" t="s">
        <v>32</v>
      </c>
      <c r="C49" s="56">
        <v>3</v>
      </c>
      <c r="D49" s="95">
        <f t="shared" ref="D49:D50" si="2">SUM(E49:P49)</f>
        <v>10</v>
      </c>
      <c r="E49" s="165">
        <v>1</v>
      </c>
      <c r="F49" s="3">
        <v>0</v>
      </c>
      <c r="G49" s="166">
        <v>2</v>
      </c>
      <c r="H49" s="161">
        <v>0</v>
      </c>
      <c r="I49" s="163">
        <v>1</v>
      </c>
      <c r="J49" s="3">
        <v>0</v>
      </c>
      <c r="K49" s="3">
        <v>0</v>
      </c>
      <c r="L49" s="162">
        <v>0</v>
      </c>
      <c r="M49" s="167">
        <v>1</v>
      </c>
      <c r="N49" s="163">
        <v>2</v>
      </c>
      <c r="O49" s="161">
        <v>2</v>
      </c>
      <c r="P49" s="168">
        <v>1</v>
      </c>
    </row>
    <row r="50" spans="1:16" ht="24.95" customHeight="1" outlineLevel="1" x14ac:dyDescent="0.25">
      <c r="A50" s="8" t="s">
        <v>47</v>
      </c>
      <c r="B50" s="2" t="s">
        <v>32</v>
      </c>
      <c r="C50" s="208">
        <v>1</v>
      </c>
      <c r="D50" s="209">
        <f t="shared" si="2"/>
        <v>20</v>
      </c>
      <c r="E50" s="210">
        <v>1</v>
      </c>
      <c r="F50" s="211">
        <v>0</v>
      </c>
      <c r="G50" s="212">
        <v>5</v>
      </c>
      <c r="H50" s="212">
        <v>1</v>
      </c>
      <c r="I50" s="212">
        <v>2</v>
      </c>
      <c r="J50" s="211">
        <v>1</v>
      </c>
      <c r="K50" s="212">
        <v>1</v>
      </c>
      <c r="L50" s="213">
        <v>0</v>
      </c>
      <c r="M50" s="214">
        <v>1</v>
      </c>
      <c r="N50" s="214">
        <v>4</v>
      </c>
      <c r="O50" s="212">
        <v>3</v>
      </c>
      <c r="P50" s="215">
        <v>1</v>
      </c>
    </row>
    <row r="51" spans="1:16" ht="24.95" customHeight="1" outlineLevel="1" x14ac:dyDescent="0.25">
      <c r="A51" s="15" t="s">
        <v>37</v>
      </c>
      <c r="B51" s="13" t="s">
        <v>32</v>
      </c>
      <c r="C51" s="58">
        <v>1</v>
      </c>
      <c r="D51" s="62">
        <f>AVERAGE(E51:P51)</f>
        <v>1</v>
      </c>
      <c r="E51" s="216">
        <f>IF(AND(E48=0,E49=0),"",E50/(E49+E48))</f>
        <v>1</v>
      </c>
      <c r="F51" s="216" t="str">
        <f t="shared" ref="F51:P51" si="3">IF(AND(F48=0,F49=0),"",F50/(F49+F48))</f>
        <v/>
      </c>
      <c r="G51" s="216">
        <f t="shared" si="3"/>
        <v>1</v>
      </c>
      <c r="H51" s="216">
        <f t="shared" si="3"/>
        <v>1</v>
      </c>
      <c r="I51" s="216">
        <f t="shared" si="3"/>
        <v>1</v>
      </c>
      <c r="J51" s="216">
        <f t="shared" si="3"/>
        <v>1</v>
      </c>
      <c r="K51" s="216">
        <f t="shared" si="3"/>
        <v>1</v>
      </c>
      <c r="L51" s="216" t="str">
        <f t="shared" si="3"/>
        <v/>
      </c>
      <c r="M51" s="216">
        <f t="shared" si="3"/>
        <v>1</v>
      </c>
      <c r="N51" s="216">
        <f t="shared" si="3"/>
        <v>1</v>
      </c>
      <c r="O51" s="216">
        <f t="shared" si="3"/>
        <v>1</v>
      </c>
      <c r="P51" s="216">
        <f t="shared" si="3"/>
        <v>1</v>
      </c>
    </row>
  </sheetData>
  <autoFilter ref="A1:P1" xr:uid="{00000000-0009-0000-0000-000000000000}"/>
  <mergeCells count="5">
    <mergeCell ref="A2:P2"/>
    <mergeCell ref="A21:P21"/>
    <mergeCell ref="A13:P13"/>
    <mergeCell ref="A29:P29"/>
    <mergeCell ref="A38:P38"/>
  </mergeCells>
  <conditionalFormatting sqref="D14">
    <cfRule type="cellIs" dxfId="35" priority="124" operator="greaterThan">
      <formula>20</formula>
    </cfRule>
    <cfRule type="cellIs" dxfId="34" priority="125" operator="lessThanOrEqual">
      <formula>20</formula>
    </cfRule>
  </conditionalFormatting>
  <conditionalFormatting sqref="D15">
    <cfRule type="cellIs" dxfId="33" priority="51" operator="lessThanOrEqual">
      <formula>"0.5"</formula>
    </cfRule>
    <cfRule type="cellIs" dxfId="32" priority="52" operator="greaterThan">
      <formula>"0.5"</formula>
    </cfRule>
  </conditionalFormatting>
  <conditionalFormatting sqref="D18">
    <cfRule type="cellIs" dxfId="31" priority="114" operator="greaterThan">
      <formula>"1.5"</formula>
    </cfRule>
    <cfRule type="cellIs" dxfId="30" priority="115" operator="lessThanOrEqual">
      <formula>"1.5"</formula>
    </cfRule>
  </conditionalFormatting>
  <conditionalFormatting sqref="D20">
    <cfRule type="cellIs" dxfId="29" priority="55" operator="greaterThan">
      <formula>12</formula>
    </cfRule>
    <cfRule type="cellIs" dxfId="28" priority="56" operator="lessThanOrEqual">
      <formula>12</formula>
    </cfRule>
  </conditionalFormatting>
  <conditionalFormatting sqref="D23">
    <cfRule type="cellIs" dxfId="27" priority="774" operator="lessThanOrEqual">
      <formula>"0.5"</formula>
    </cfRule>
    <cfRule type="cellIs" dxfId="26" priority="775" operator="greaterThan">
      <formula>"0.5"</formula>
    </cfRule>
  </conditionalFormatting>
  <conditionalFormatting sqref="D26">
    <cfRule type="cellIs" dxfId="25" priority="686" operator="greaterThan">
      <formula>"1"</formula>
    </cfRule>
    <cfRule type="cellIs" dxfId="24" priority="687" operator="lessThanOrEqual">
      <formula>"1"</formula>
    </cfRule>
  </conditionalFormatting>
  <conditionalFormatting sqref="D28">
    <cfRule type="cellIs" dxfId="23" priority="784" operator="greaterThan">
      <formula>12</formula>
    </cfRule>
    <cfRule type="cellIs" dxfId="22" priority="785" operator="lessThanOrEqual">
      <formula>12</formula>
    </cfRule>
  </conditionalFormatting>
  <conditionalFormatting sqref="D30">
    <cfRule type="cellIs" dxfId="21" priority="772" operator="greaterThan">
      <formula>45</formula>
    </cfRule>
    <cfRule type="cellIs" dxfId="20" priority="773" operator="lessThanOrEqual">
      <formula>45</formula>
    </cfRule>
  </conditionalFormatting>
  <conditionalFormatting sqref="D31">
    <cfRule type="cellIs" dxfId="19" priority="770" operator="greaterThan">
      <formula>1.5</formula>
    </cfRule>
    <cfRule type="cellIs" dxfId="18" priority="771" operator="lessThanOrEqual">
      <formula>1.5</formula>
    </cfRule>
  </conditionalFormatting>
  <conditionalFormatting sqref="D35">
    <cfRule type="cellIs" dxfId="17" priority="688" operator="greaterThan">
      <formula>"1.5"</formula>
    </cfRule>
    <cfRule type="cellIs" dxfId="16" priority="689" operator="lessThanOrEqual">
      <formula>"1.5"</formula>
    </cfRule>
  </conditionalFormatting>
  <conditionalFormatting sqref="D37">
    <cfRule type="cellIs" dxfId="15" priority="126" operator="greaterThan">
      <formula>12</formula>
    </cfRule>
    <cfRule type="cellIs" dxfId="14" priority="127" operator="lessThanOrEqual">
      <formula>12</formula>
    </cfRule>
  </conditionalFormatting>
  <conditionalFormatting sqref="D39">
    <cfRule type="cellIs" dxfId="13" priority="147" operator="greaterThan">
      <formula>50</formula>
    </cfRule>
    <cfRule type="cellIs" dxfId="12" priority="148" operator="lessThanOrEqual">
      <formula>50</formula>
    </cfRule>
  </conditionalFormatting>
  <conditionalFormatting sqref="D40">
    <cfRule type="cellIs" dxfId="11" priority="81" operator="greaterThan">
      <formula>"0.5"</formula>
    </cfRule>
    <cfRule type="cellIs" dxfId="10" priority="82" operator="lessThanOrEqual">
      <formula>0.5</formula>
    </cfRule>
  </conditionalFormatting>
  <conditionalFormatting sqref="D43">
    <cfRule type="cellIs" dxfId="9" priority="112" operator="greaterThan">
      <formula>"1.5"</formula>
    </cfRule>
    <cfRule type="cellIs" dxfId="8" priority="113" operator="lessThanOrEqual">
      <formula>"1.5"</formula>
    </cfRule>
  </conditionalFormatting>
  <conditionalFormatting sqref="D44 L44">
    <cfRule type="cellIs" dxfId="7" priority="145" operator="lessThan">
      <formula>0.95</formula>
    </cfRule>
    <cfRule type="cellIs" dxfId="6" priority="146" operator="greaterThanOrEqual">
      <formula>95%</formula>
    </cfRule>
  </conditionalFormatting>
  <conditionalFormatting sqref="D19:K19 M19:P19">
    <cfRule type="cellIs" dxfId="5" priority="35" operator="lessThan">
      <formula>0.95</formula>
    </cfRule>
    <cfRule type="cellIs" dxfId="4" priority="36" operator="greaterThanOrEqual">
      <formula>95%</formula>
    </cfRule>
  </conditionalFormatting>
  <conditionalFormatting sqref="D36:O36">
    <cfRule type="cellIs" dxfId="3" priority="27" operator="lessThan">
      <formula>0.95</formula>
    </cfRule>
    <cfRule type="cellIs" dxfId="2" priority="28" operator="greaterThanOrEqual">
      <formula>95%</formula>
    </cfRule>
  </conditionalFormatting>
  <conditionalFormatting sqref="D27:P27">
    <cfRule type="cellIs" dxfId="1" priority="740" operator="lessThan">
      <formula>0.95</formula>
    </cfRule>
    <cfRule type="cellIs" dxfId="0" priority="741" operator="greaterThanOrEqual">
      <formula>95%</formula>
    </cfRule>
  </conditionalFormatting>
  <pageMargins left="0.24" right="0.27" top="0.75" bottom="0.34" header="0.3" footer="0.3"/>
  <pageSetup paperSize="8" scale="5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B1:AP134"/>
  <sheetViews>
    <sheetView workbookViewId="0"/>
  </sheetViews>
  <sheetFormatPr baseColWidth="10" defaultColWidth="11.42578125" defaultRowHeight="15" x14ac:dyDescent="0.25"/>
  <cols>
    <col min="1" max="1" width="2.42578125" customWidth="1"/>
    <col min="5" max="5" width="13.140625" customWidth="1"/>
    <col min="6" max="6" width="13.28515625" customWidth="1"/>
    <col min="8" max="8" width="1.28515625" customWidth="1"/>
    <col min="9" max="9" width="12.28515625" customWidth="1"/>
    <col min="11" max="11" width="12.28515625" customWidth="1"/>
    <col min="13" max="13" width="12" customWidth="1"/>
    <col min="15" max="15" width="1.7109375" customWidth="1"/>
    <col min="20" max="20" width="12.140625" customWidth="1"/>
    <col min="22" max="22" width="2.28515625" customWidth="1"/>
    <col min="28" max="33" width="12.7109375" customWidth="1"/>
    <col min="34" max="34" width="8.7109375" customWidth="1"/>
    <col min="35" max="35" width="11.5703125" customWidth="1"/>
    <col min="36" max="57" width="8.7109375" customWidth="1"/>
  </cols>
  <sheetData>
    <row r="1" spans="2:28" ht="45" customHeight="1" thickBot="1" x14ac:dyDescent="0.3">
      <c r="B1" s="284" t="s">
        <v>132</v>
      </c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</row>
    <row r="2" spans="2:28" s="23" customFormat="1" ht="27" customHeight="1" thickBot="1" x14ac:dyDescent="0.3">
      <c r="B2" s="285" t="s">
        <v>49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</row>
    <row r="3" spans="2:28" s="23" customFormat="1" ht="15" customHeight="1" thickBot="1" x14ac:dyDescent="0.3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2:28" ht="20.25" customHeight="1" thickBot="1" x14ac:dyDescent="0.3">
      <c r="B4" s="263" t="s">
        <v>50</v>
      </c>
      <c r="C4" s="264"/>
      <c r="D4" s="264"/>
      <c r="E4" s="264"/>
      <c r="F4" s="264"/>
      <c r="G4" s="265"/>
      <c r="H4" s="25"/>
      <c r="I4" s="287" t="s">
        <v>51</v>
      </c>
      <c r="J4" s="288"/>
      <c r="K4" s="288"/>
      <c r="L4" s="288"/>
      <c r="M4" s="288"/>
      <c r="N4" s="289"/>
      <c r="O4" s="25"/>
      <c r="P4" s="263" t="s">
        <v>52</v>
      </c>
      <c r="Q4" s="264"/>
      <c r="R4" s="264"/>
      <c r="S4" s="264"/>
      <c r="T4" s="264"/>
      <c r="U4" s="265"/>
      <c r="W4" s="263" t="s">
        <v>153</v>
      </c>
      <c r="X4" s="264"/>
      <c r="Y4" s="264"/>
      <c r="Z4" s="264"/>
      <c r="AA4" s="264"/>
      <c r="AB4" s="265"/>
    </row>
    <row r="5" spans="2:28" ht="33.75" customHeight="1" x14ac:dyDescent="0.25">
      <c r="B5" s="26" t="s">
        <v>53</v>
      </c>
      <c r="C5" s="27">
        <f>'Zoom Indicateurs 2025'!C5</f>
        <v>8</v>
      </c>
      <c r="D5" s="26" t="s">
        <v>54</v>
      </c>
      <c r="E5" s="27">
        <f>'Zoom Indicateurs 2025'!C4</f>
        <v>0</v>
      </c>
      <c r="F5" s="26" t="s">
        <v>55</v>
      </c>
      <c r="G5" s="28">
        <f>'Zoom Indicateurs 2025'!C3</f>
        <v>11</v>
      </c>
      <c r="H5" s="25"/>
      <c r="I5" s="26" t="s">
        <v>56</v>
      </c>
      <c r="J5" s="29">
        <f>'Zoom Indicateurs 2025'!C6</f>
        <v>8</v>
      </c>
      <c r="K5" s="26" t="s">
        <v>57</v>
      </c>
      <c r="L5" s="29">
        <f>'Zoom Indicateurs 2025'!C8</f>
        <v>10</v>
      </c>
      <c r="M5" s="26" t="s">
        <v>58</v>
      </c>
      <c r="N5" s="29">
        <f>'Zoom Indicateurs 2025'!C7</f>
        <v>5</v>
      </c>
      <c r="O5" s="25"/>
      <c r="P5" s="282" t="s">
        <v>59</v>
      </c>
      <c r="Q5" s="283"/>
      <c r="R5" s="30">
        <f>'Zoom Indicateurs 2025'!$C$9</f>
        <v>0.95</v>
      </c>
      <c r="S5" s="283" t="s">
        <v>60</v>
      </c>
      <c r="T5" s="283"/>
      <c r="U5" s="30">
        <f>'Zoom Indicateurs 2025'!$C$10</f>
        <v>0.85</v>
      </c>
      <c r="W5" s="266" t="s">
        <v>82</v>
      </c>
      <c r="X5" s="267"/>
      <c r="Y5" s="233">
        <f>'Zoom Indicateurs 2025'!D11</f>
        <v>0.99</v>
      </c>
      <c r="Z5" s="266" t="s">
        <v>83</v>
      </c>
      <c r="AA5" s="267"/>
      <c r="AB5" s="234">
        <f>'Zoom Indicateurs 2025'!D12</f>
        <v>0.92</v>
      </c>
    </row>
    <row r="6" spans="2:28" ht="23.25" customHeight="1" thickBot="1" x14ac:dyDescent="0.3">
      <c r="B6" s="31" t="s">
        <v>61</v>
      </c>
      <c r="C6" s="32">
        <f>'Zoom Indicateurs 2025'!D5</f>
        <v>4</v>
      </c>
      <c r="D6" s="31" t="s">
        <v>62</v>
      </c>
      <c r="E6" s="32">
        <f>'Zoom Indicateurs 2025'!D4</f>
        <v>0</v>
      </c>
      <c r="F6" s="31" t="s">
        <v>63</v>
      </c>
      <c r="G6" s="33">
        <f>'Zoom Indicateurs 2025'!D3</f>
        <v>9</v>
      </c>
      <c r="H6" s="25"/>
      <c r="I6" s="31" t="s">
        <v>64</v>
      </c>
      <c r="J6" s="34">
        <f>'Zoom Indicateurs 2025'!D6</f>
        <v>8</v>
      </c>
      <c r="K6" s="31" t="s">
        <v>65</v>
      </c>
      <c r="L6" s="34">
        <f>'Zoom Indicateurs 2025'!D8</f>
        <v>5</v>
      </c>
      <c r="M6" s="31" t="s">
        <v>66</v>
      </c>
      <c r="N6" s="35">
        <f>'Zoom Indicateurs 2025'!D7</f>
        <v>5</v>
      </c>
      <c r="O6" s="25"/>
      <c r="P6" s="302" t="s">
        <v>67</v>
      </c>
      <c r="Q6" s="303"/>
      <c r="R6" s="36">
        <f>'Zoom Indicateurs 2025'!$D$9</f>
        <v>0.97</v>
      </c>
      <c r="S6" s="304" t="s">
        <v>68</v>
      </c>
      <c r="T6" s="304"/>
      <c r="U6" s="36">
        <f>'Zoom Indicateurs 2025'!$D$10</f>
        <v>0.91</v>
      </c>
      <c r="W6" s="268" t="s">
        <v>88</v>
      </c>
      <c r="X6" s="269"/>
      <c r="Y6" s="235">
        <f>'Zoom Indicateurs 2025'!C11</f>
        <v>0.95</v>
      </c>
      <c r="Z6" s="268" t="s">
        <v>89</v>
      </c>
      <c r="AA6" s="269"/>
      <c r="AB6" s="236">
        <f>'Zoom Indicateurs 2025'!C12</f>
        <v>0.8</v>
      </c>
    </row>
    <row r="7" spans="2:28" ht="21.75" customHeight="1" thickBot="1" x14ac:dyDescent="0.3">
      <c r="P7" s="305" t="s">
        <v>69</v>
      </c>
      <c r="Q7" s="306"/>
      <c r="R7" s="37">
        <f>'Zoom Indicateurs 2025'!$D$11</f>
        <v>0.99</v>
      </c>
      <c r="S7" s="307" t="s">
        <v>70</v>
      </c>
      <c r="T7" s="307"/>
      <c r="U7" s="37">
        <f>'Zoom Indicateurs 2025'!D12</f>
        <v>0.92</v>
      </c>
    </row>
    <row r="25" spans="2:42" ht="15.75" thickBot="1" x14ac:dyDescent="0.3"/>
    <row r="26" spans="2:42" ht="15.75" thickBot="1" x14ac:dyDescent="0.3">
      <c r="AD26" s="312" t="s">
        <v>71</v>
      </c>
      <c r="AE26" s="313"/>
      <c r="AF26" s="313"/>
      <c r="AG26" s="313"/>
      <c r="AH26" s="313"/>
      <c r="AI26" s="314"/>
    </row>
    <row r="27" spans="2:42" s="23" customFormat="1" ht="27" customHeight="1" thickBot="1" x14ac:dyDescent="0.3">
      <c r="B27" s="308" t="s">
        <v>72</v>
      </c>
      <c r="C27" s="309"/>
      <c r="D27" s="309"/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D27" s="296" t="s">
        <v>73</v>
      </c>
      <c r="AE27" s="297"/>
      <c r="AF27" s="38">
        <f>'Zoom Indicateurs 2025'!C24</f>
        <v>2</v>
      </c>
      <c r="AG27" s="296" t="s">
        <v>74</v>
      </c>
      <c r="AH27" s="297"/>
      <c r="AI27" s="116">
        <f>'Zoom Indicateurs 2025'!D24</f>
        <v>3</v>
      </c>
    </row>
    <row r="28" spans="2:42" ht="10.5" customHeight="1" thickBot="1" x14ac:dyDescent="0.3">
      <c r="AK28" s="290" t="s">
        <v>75</v>
      </c>
      <c r="AL28" s="291"/>
      <c r="AM28" s="291"/>
      <c r="AN28" s="291"/>
      <c r="AO28" s="291"/>
      <c r="AP28" s="292"/>
    </row>
    <row r="29" spans="2:42" ht="15" customHeight="1" thickBot="1" x14ac:dyDescent="0.3">
      <c r="B29" s="290" t="s">
        <v>76</v>
      </c>
      <c r="C29" s="291"/>
      <c r="D29" s="291"/>
      <c r="E29" s="291"/>
      <c r="F29" s="291"/>
      <c r="G29" s="292"/>
      <c r="P29" s="293" t="s">
        <v>38</v>
      </c>
      <c r="Q29" s="294"/>
      <c r="R29" s="294"/>
      <c r="S29" s="294"/>
      <c r="T29" s="294"/>
      <c r="U29" s="295"/>
      <c r="W29" s="290" t="s">
        <v>77</v>
      </c>
      <c r="X29" s="291"/>
      <c r="Y29" s="291"/>
      <c r="Z29" s="291"/>
      <c r="AA29" s="291"/>
      <c r="AB29" s="292"/>
      <c r="AK29" s="290" t="s">
        <v>78</v>
      </c>
      <c r="AL29" s="291"/>
      <c r="AM29" s="291"/>
      <c r="AN29" s="291"/>
      <c r="AO29" s="291"/>
      <c r="AP29" s="292"/>
    </row>
    <row r="30" spans="2:42" ht="23.25" customHeight="1" thickBot="1" x14ac:dyDescent="0.3">
      <c r="B30" s="290" t="s">
        <v>79</v>
      </c>
      <c r="C30" s="291"/>
      <c r="D30" s="291"/>
      <c r="E30" s="291"/>
      <c r="F30" s="291"/>
      <c r="G30" s="292"/>
      <c r="P30" s="296" t="s">
        <v>136</v>
      </c>
      <c r="Q30" s="297"/>
      <c r="R30" s="38">
        <f>'Zoom Indicateurs 2025'!C28</f>
        <v>10</v>
      </c>
      <c r="S30" s="296" t="s">
        <v>81</v>
      </c>
      <c r="T30" s="297"/>
      <c r="U30" s="97">
        <f>'Zoom Indicateurs 2025'!D28</f>
        <v>2</v>
      </c>
      <c r="W30" s="298" t="s">
        <v>82</v>
      </c>
      <c r="X30" s="299"/>
      <c r="Y30" s="112">
        <f>'Zoom Indicateurs 2025'!$D$9</f>
        <v>0.97</v>
      </c>
      <c r="Z30" s="298" t="s">
        <v>83</v>
      </c>
      <c r="AA30" s="299"/>
      <c r="AB30" s="114">
        <f>'Zoom Indicateurs 2025'!$D$10</f>
        <v>0.91</v>
      </c>
      <c r="AK30" s="290" t="s">
        <v>84</v>
      </c>
      <c r="AL30" s="291"/>
      <c r="AM30" s="291"/>
      <c r="AN30" s="291"/>
      <c r="AO30" s="291"/>
      <c r="AP30" s="292"/>
    </row>
    <row r="31" spans="2:42" ht="21.75" customHeight="1" thickBot="1" x14ac:dyDescent="0.3">
      <c r="B31" s="39" t="s">
        <v>85</v>
      </c>
      <c r="C31" s="180">
        <f>'Zoom Indicateurs 2025'!D22</f>
        <v>19.260000000000002</v>
      </c>
      <c r="D31" s="41"/>
      <c r="E31" s="42" t="s">
        <v>86</v>
      </c>
      <c r="F31" s="96">
        <f>'Zoom Indicateurs 2025'!Q23</f>
        <v>0.32</v>
      </c>
      <c r="G31" s="41"/>
      <c r="I31" s="312" t="s">
        <v>87</v>
      </c>
      <c r="J31" s="313"/>
      <c r="K31" s="313"/>
      <c r="L31" s="313"/>
      <c r="M31" s="313"/>
      <c r="N31" s="314"/>
      <c r="W31" s="310" t="s">
        <v>88</v>
      </c>
      <c r="X31" s="311"/>
      <c r="Y31" s="113">
        <f>'Zoom Indicateurs 2025'!$C$9</f>
        <v>0.95</v>
      </c>
      <c r="Z31" s="310" t="s">
        <v>89</v>
      </c>
      <c r="AA31" s="311"/>
      <c r="AB31" s="115">
        <f>'Zoom Indicateurs 2025'!$C$10</f>
        <v>0.85</v>
      </c>
    </row>
    <row r="32" spans="2:42" ht="21.75" customHeight="1" thickBot="1" x14ac:dyDescent="0.3">
      <c r="B32" s="43" t="s">
        <v>90</v>
      </c>
      <c r="C32" s="44">
        <f>'Zoom Indicateurs 2025'!C22</f>
        <v>15</v>
      </c>
      <c r="D32" s="45"/>
      <c r="E32" s="46" t="s">
        <v>91</v>
      </c>
      <c r="F32" s="44">
        <f>'Zoom Indicateurs 2025'!C23</f>
        <v>0.35</v>
      </c>
      <c r="G32" s="45"/>
      <c r="I32" s="296" t="s">
        <v>73</v>
      </c>
      <c r="J32" s="297"/>
      <c r="K32" s="297"/>
      <c r="L32" s="297"/>
      <c r="M32" s="297"/>
      <c r="N32" s="119">
        <f>'Zoom Indicateurs 2025'!C27</f>
        <v>1</v>
      </c>
    </row>
    <row r="33" spans="9:35" ht="15.75" thickBot="1" x14ac:dyDescent="0.3">
      <c r="I33" s="296" t="s">
        <v>92</v>
      </c>
      <c r="J33" s="297"/>
      <c r="K33" s="117" t="str">
        <f>'Zoom Indicateurs 2025'!C26</f>
        <v>-</v>
      </c>
      <c r="L33" s="296" t="s">
        <v>93</v>
      </c>
      <c r="M33" s="297"/>
      <c r="N33" s="118">
        <f>'Zoom Indicateurs 2025'!D26</f>
        <v>5</v>
      </c>
    </row>
    <row r="41" spans="9:35" ht="15.75" thickBot="1" x14ac:dyDescent="0.3"/>
    <row r="42" spans="9:35" ht="15.75" thickBot="1" x14ac:dyDescent="0.3">
      <c r="AD42" s="312" t="s">
        <v>94</v>
      </c>
      <c r="AE42" s="313"/>
      <c r="AF42" s="313"/>
      <c r="AG42" s="313"/>
      <c r="AH42" s="313"/>
      <c r="AI42" s="314"/>
    </row>
    <row r="43" spans="9:35" ht="15.75" thickBot="1" x14ac:dyDescent="0.3">
      <c r="AD43" s="296" t="s">
        <v>73</v>
      </c>
      <c r="AE43" s="297"/>
      <c r="AF43" s="38">
        <f>'Zoom Indicateurs 2025'!C25</f>
        <v>1</v>
      </c>
      <c r="AG43" s="296" t="s">
        <v>74</v>
      </c>
      <c r="AH43" s="297"/>
      <c r="AI43" s="116">
        <f>'Zoom Indicateurs 2025'!D25</f>
        <v>2</v>
      </c>
    </row>
    <row r="51" spans="2:21" ht="15.75" thickBot="1" x14ac:dyDescent="0.3"/>
    <row r="52" spans="2:21" ht="22.5" customHeight="1" thickBot="1" x14ac:dyDescent="0.3">
      <c r="B52" s="300" t="s">
        <v>95</v>
      </c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</row>
    <row r="53" spans="2:21" ht="12" customHeight="1" thickBot="1" x14ac:dyDescent="0.3"/>
    <row r="54" spans="2:21" ht="15" customHeight="1" thickBot="1" x14ac:dyDescent="0.3">
      <c r="B54" s="315" t="s">
        <v>154</v>
      </c>
      <c r="C54" s="316"/>
      <c r="D54" s="316"/>
      <c r="E54" s="316"/>
      <c r="F54" s="316"/>
      <c r="G54" s="317"/>
      <c r="I54" s="315" t="s">
        <v>96</v>
      </c>
      <c r="J54" s="316"/>
      <c r="K54" s="316"/>
      <c r="L54" s="316"/>
      <c r="M54" s="316"/>
      <c r="N54" s="316"/>
      <c r="P54" s="315" t="s">
        <v>38</v>
      </c>
      <c r="Q54" s="316"/>
      <c r="R54" s="316"/>
      <c r="S54" s="316"/>
      <c r="T54" s="316"/>
      <c r="U54" s="316"/>
    </row>
    <row r="55" spans="2:21" ht="15.75" customHeight="1" thickBot="1" x14ac:dyDescent="0.3">
      <c r="B55" s="315" t="s">
        <v>155</v>
      </c>
      <c r="C55" s="316"/>
      <c r="D55" s="316"/>
      <c r="E55" s="316"/>
      <c r="F55" s="316"/>
      <c r="G55" s="317"/>
      <c r="I55" s="318" t="s">
        <v>97</v>
      </c>
      <c r="J55" s="319"/>
      <c r="K55" s="319"/>
      <c r="L55" s="319"/>
      <c r="M55" s="319"/>
      <c r="N55" s="319"/>
      <c r="P55" s="320" t="s">
        <v>80</v>
      </c>
      <c r="Q55" s="321"/>
      <c r="R55" s="70">
        <f>'Zoom Indicateurs 2025'!C37</f>
        <v>1</v>
      </c>
      <c r="S55" s="320" t="s">
        <v>81</v>
      </c>
      <c r="T55" s="321"/>
      <c r="U55" s="70">
        <f>'Zoom Indicateurs 2025'!D37</f>
        <v>0</v>
      </c>
    </row>
    <row r="56" spans="2:21" ht="15.75" customHeight="1" x14ac:dyDescent="0.25">
      <c r="B56" s="242" t="s">
        <v>85</v>
      </c>
      <c r="C56" s="336">
        <f>'Zoom Indicateurs 2025'!D30</f>
        <v>53.47</v>
      </c>
      <c r="D56" s="337"/>
      <c r="E56" s="242" t="s">
        <v>86</v>
      </c>
      <c r="F56" s="259">
        <f>'Zoom Indicateurs 2025'!D31</f>
        <v>0.67</v>
      </c>
      <c r="G56" s="260"/>
      <c r="I56" s="325" t="s">
        <v>98</v>
      </c>
      <c r="J56" s="325"/>
      <c r="K56" s="325"/>
      <c r="L56" s="325" t="s">
        <v>99</v>
      </c>
      <c r="M56" s="325"/>
      <c r="N56" s="325"/>
    </row>
    <row r="57" spans="2:21" ht="15.75" thickBot="1" x14ac:dyDescent="0.3">
      <c r="B57" s="243" t="s">
        <v>90</v>
      </c>
      <c r="C57" s="261">
        <f>'Zoom Indicateurs 2025'!C30</f>
        <v>25</v>
      </c>
      <c r="D57" s="262"/>
      <c r="E57" s="243" t="s">
        <v>91</v>
      </c>
      <c r="F57" s="261">
        <f>'Zoom Indicateurs 2025'!C31</f>
        <v>0.8</v>
      </c>
      <c r="G57" s="262"/>
      <c r="I57" s="325" t="s">
        <v>100</v>
      </c>
      <c r="J57" s="325"/>
      <c r="K57" s="325"/>
    </row>
    <row r="73" spans="2:33" ht="14.25" customHeight="1" x14ac:dyDescent="0.25"/>
    <row r="77" spans="2:33" ht="22.5" customHeight="1" thickBot="1" x14ac:dyDescent="0.3">
      <c r="B77" s="326" t="s">
        <v>48</v>
      </c>
      <c r="C77" s="327"/>
      <c r="D77" s="327"/>
      <c r="E77" s="327"/>
      <c r="F77" s="327"/>
      <c r="G77" s="327"/>
      <c r="H77" s="327"/>
      <c r="I77" s="327"/>
      <c r="J77" s="327"/>
      <c r="K77" s="327"/>
      <c r="L77" s="327"/>
      <c r="M77" s="327"/>
      <c r="N77" s="327"/>
      <c r="O77" s="327"/>
      <c r="P77" s="327"/>
      <c r="Q77" s="327"/>
      <c r="R77" s="327"/>
      <c r="S77" s="327"/>
      <c r="T77" s="327"/>
      <c r="U77" s="327"/>
    </row>
    <row r="78" spans="2:33" ht="15.75" thickBot="1" x14ac:dyDescent="0.3">
      <c r="AB78" s="270" t="s">
        <v>146</v>
      </c>
      <c r="AC78" s="271"/>
      <c r="AD78" s="271"/>
      <c r="AE78" s="271"/>
      <c r="AF78" s="271"/>
      <c r="AG78" s="272"/>
    </row>
    <row r="79" spans="2:33" ht="15.75" customHeight="1" x14ac:dyDescent="0.25">
      <c r="B79" s="270" t="s">
        <v>101</v>
      </c>
      <c r="C79" s="271"/>
      <c r="D79" s="271"/>
      <c r="E79" s="271"/>
      <c r="F79" s="271"/>
      <c r="G79" s="272"/>
      <c r="I79" s="328" t="s">
        <v>102</v>
      </c>
      <c r="J79" s="329"/>
      <c r="K79" s="329"/>
      <c r="L79" s="329"/>
      <c r="M79" s="329"/>
      <c r="N79" s="329"/>
      <c r="O79" s="329"/>
      <c r="P79" s="329"/>
      <c r="Q79" s="329"/>
      <c r="V79" s="225"/>
      <c r="W79" s="225" t="s">
        <v>142</v>
      </c>
      <c r="X79" s="225" t="s">
        <v>143</v>
      </c>
      <c r="Y79" s="225" t="s">
        <v>144</v>
      </c>
      <c r="Z79" s="225" t="s">
        <v>145</v>
      </c>
      <c r="AB79" s="273" t="s">
        <v>103</v>
      </c>
      <c r="AC79" s="274"/>
      <c r="AD79" s="274"/>
      <c r="AE79" s="274"/>
      <c r="AF79" s="274"/>
      <c r="AG79" s="275"/>
    </row>
    <row r="80" spans="2:33" ht="18.75" customHeight="1" thickBot="1" x14ac:dyDescent="0.3">
      <c r="B80" s="330" t="s">
        <v>103</v>
      </c>
      <c r="C80" s="331"/>
      <c r="D80" s="331"/>
      <c r="E80" s="331"/>
      <c r="F80" s="331"/>
      <c r="G80" s="332"/>
      <c r="I80" s="328" t="s">
        <v>104</v>
      </c>
      <c r="J80" s="329"/>
      <c r="K80" s="329"/>
      <c r="L80" s="329"/>
      <c r="M80" s="329"/>
      <c r="N80" s="329"/>
      <c r="O80" s="329"/>
      <c r="P80" s="329"/>
      <c r="Q80" s="329"/>
      <c r="V80" s="226" t="s">
        <v>140</v>
      </c>
      <c r="W80" s="226">
        <v>64.239999999999995</v>
      </c>
      <c r="X80" s="226">
        <v>64.239999999999995</v>
      </c>
      <c r="Y80" s="226">
        <v>0</v>
      </c>
      <c r="Z80" s="226">
        <v>85.35</v>
      </c>
      <c r="AB80" s="280" t="s">
        <v>147</v>
      </c>
      <c r="AC80" s="277"/>
      <c r="AD80" s="228">
        <f>'Zoom Indicateurs 2025'!D49</f>
        <v>10</v>
      </c>
      <c r="AE80" s="276" t="s">
        <v>148</v>
      </c>
      <c r="AF80" s="277"/>
      <c r="AG80" s="230">
        <f>'Zoom Indicateurs 2025'!D48</f>
        <v>10</v>
      </c>
    </row>
    <row r="81" spans="2:33" ht="15.75" customHeight="1" x14ac:dyDescent="0.25">
      <c r="B81" s="217" t="s">
        <v>85</v>
      </c>
      <c r="C81" s="218">
        <f>'Zoom Indicateurs 2025'!D46</f>
        <v>64.14</v>
      </c>
      <c r="D81" s="219"/>
      <c r="E81" s="220" t="s">
        <v>86</v>
      </c>
      <c r="F81" s="218">
        <f>'Zoom Indicateurs 2025'!D47</f>
        <v>2.2799999999999998</v>
      </c>
      <c r="G81" s="219"/>
      <c r="I81" s="328" t="s">
        <v>105</v>
      </c>
      <c r="J81" s="329"/>
      <c r="K81" s="329"/>
      <c r="L81" s="329"/>
      <c r="M81" s="329"/>
      <c r="N81" s="329"/>
      <c r="O81" s="329"/>
      <c r="P81" s="329"/>
      <c r="Q81" s="329"/>
      <c r="V81" s="227" t="s">
        <v>141</v>
      </c>
      <c r="W81" s="227">
        <v>2.2799999999999998</v>
      </c>
      <c r="X81" s="227">
        <v>3.53</v>
      </c>
      <c r="Y81" s="227">
        <v>1.5</v>
      </c>
      <c r="Z81" s="227">
        <v>6.28</v>
      </c>
      <c r="AB81" s="281" t="s">
        <v>149</v>
      </c>
      <c r="AC81" s="279"/>
      <c r="AD81" s="229">
        <f>'Zoom Indicateurs 2025'!C49</f>
        <v>3</v>
      </c>
      <c r="AE81" s="278" t="s">
        <v>150</v>
      </c>
      <c r="AF81" s="279"/>
      <c r="AG81" s="231">
        <f>'Zoom Indicateurs 2025'!C48</f>
        <v>3</v>
      </c>
    </row>
    <row r="82" spans="2:33" ht="15.75" thickBot="1" x14ac:dyDescent="0.3">
      <c r="B82" s="221" t="s">
        <v>90</v>
      </c>
      <c r="C82" s="222">
        <f>'Zoom Indicateurs 2025'!C46</f>
        <v>50</v>
      </c>
      <c r="D82" s="223"/>
      <c r="E82" s="224" t="s">
        <v>91</v>
      </c>
      <c r="F82" s="222">
        <f>'Zoom Indicateurs 2025'!C47</f>
        <v>1</v>
      </c>
      <c r="G82" s="223"/>
    </row>
    <row r="83" spans="2:33" ht="15" customHeight="1" x14ac:dyDescent="0.25"/>
    <row r="102" spans="2:21" ht="15.75" thickBot="1" x14ac:dyDescent="0.3"/>
    <row r="103" spans="2:21" ht="22.5" customHeight="1" thickBot="1" x14ac:dyDescent="0.3">
      <c r="B103" s="333" t="s">
        <v>106</v>
      </c>
      <c r="C103" s="334"/>
      <c r="D103" s="334"/>
      <c r="E103" s="334"/>
      <c r="F103" s="334"/>
      <c r="G103" s="334"/>
      <c r="H103" s="334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5"/>
    </row>
    <row r="104" spans="2:21" ht="10.5" customHeight="1" thickBot="1" x14ac:dyDescent="0.3"/>
    <row r="105" spans="2:21" ht="15.75" thickBot="1" x14ac:dyDescent="0.3">
      <c r="B105" s="322" t="s">
        <v>107</v>
      </c>
      <c r="C105" s="323"/>
      <c r="D105" s="323"/>
      <c r="E105" s="323"/>
      <c r="F105" s="323"/>
      <c r="G105" s="324"/>
      <c r="I105" s="322" t="s">
        <v>108</v>
      </c>
      <c r="J105" s="323"/>
      <c r="K105" s="323"/>
      <c r="L105" s="323"/>
      <c r="M105" s="323"/>
      <c r="N105" s="324"/>
    </row>
    <row r="106" spans="2:21" ht="15.75" thickBot="1" x14ac:dyDescent="0.3">
      <c r="B106" s="322" t="s">
        <v>109</v>
      </c>
      <c r="C106" s="323"/>
      <c r="D106" s="323"/>
      <c r="E106" s="323"/>
      <c r="F106" s="323"/>
      <c r="G106" s="324"/>
      <c r="I106" s="322" t="s">
        <v>110</v>
      </c>
      <c r="J106" s="323"/>
      <c r="K106" s="323"/>
      <c r="L106" s="323"/>
      <c r="M106" s="323"/>
      <c r="N106" s="324"/>
    </row>
    <row r="107" spans="2:21" ht="15.75" thickBot="1" x14ac:dyDescent="0.3">
      <c r="B107" s="71" t="s">
        <v>85</v>
      </c>
      <c r="C107" s="40">
        <f>'Zoom Indicateurs 2025'!D14</f>
        <v>0</v>
      </c>
      <c r="D107" s="47"/>
      <c r="E107" s="72" t="s">
        <v>86</v>
      </c>
      <c r="F107" s="40">
        <f>'Zoom Indicateurs 2025'!D15</f>
        <v>0</v>
      </c>
      <c r="G107" s="47"/>
      <c r="I107" s="322" t="s">
        <v>111</v>
      </c>
      <c r="J107" s="323"/>
      <c r="K107" s="323"/>
      <c r="L107" s="323"/>
      <c r="M107" s="323"/>
      <c r="N107" s="324"/>
    </row>
    <row r="108" spans="2:21" ht="15.75" thickBot="1" x14ac:dyDescent="0.3">
      <c r="B108" s="73" t="s">
        <v>90</v>
      </c>
      <c r="C108" s="74">
        <f>'Zoom Indicateurs 2025'!C14</f>
        <v>18</v>
      </c>
      <c r="D108" s="48"/>
      <c r="E108" s="75" t="s">
        <v>91</v>
      </c>
      <c r="F108" s="74">
        <f>'Zoom Indicateurs 2025'!C15</f>
        <v>0.5</v>
      </c>
      <c r="G108" s="48"/>
    </row>
    <row r="128" ht="15.75" thickBot="1" x14ac:dyDescent="0.3"/>
    <row r="129" spans="2:21" ht="22.5" customHeight="1" thickBot="1" x14ac:dyDescent="0.3">
      <c r="B129" s="341" t="s">
        <v>112</v>
      </c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3"/>
    </row>
    <row r="130" spans="2:21" ht="10.5" customHeight="1" thickBot="1" x14ac:dyDescent="0.3"/>
    <row r="131" spans="2:21" ht="15.75" thickBot="1" x14ac:dyDescent="0.3">
      <c r="B131" s="338" t="s">
        <v>107</v>
      </c>
      <c r="C131" s="339"/>
      <c r="D131" s="339"/>
      <c r="E131" s="339"/>
      <c r="F131" s="339"/>
      <c r="G131" s="340"/>
      <c r="I131" s="338" t="s">
        <v>108</v>
      </c>
      <c r="J131" s="339"/>
      <c r="K131" s="339"/>
      <c r="L131" s="339"/>
      <c r="M131" s="339"/>
      <c r="N131" s="340"/>
    </row>
    <row r="132" spans="2:21" ht="15.75" thickBot="1" x14ac:dyDescent="0.3">
      <c r="B132" s="338" t="s">
        <v>109</v>
      </c>
      <c r="C132" s="339"/>
      <c r="D132" s="339"/>
      <c r="E132" s="339"/>
      <c r="F132" s="339"/>
      <c r="G132" s="340"/>
      <c r="I132" s="338" t="s">
        <v>110</v>
      </c>
      <c r="J132" s="339"/>
      <c r="K132" s="339"/>
      <c r="L132" s="339"/>
      <c r="M132" s="339"/>
      <c r="N132" s="340"/>
    </row>
    <row r="133" spans="2:21" ht="15.75" thickBot="1" x14ac:dyDescent="0.3">
      <c r="B133" s="82" t="s">
        <v>85</v>
      </c>
      <c r="C133" s="76">
        <f>'Zoom Indicateurs 2025'!D39</f>
        <v>0</v>
      </c>
      <c r="D133" s="77"/>
      <c r="E133" s="78" t="s">
        <v>86</v>
      </c>
      <c r="F133" s="76">
        <f>'Zoom Indicateurs 2025'!D40</f>
        <v>0</v>
      </c>
      <c r="G133" s="77"/>
      <c r="I133" s="338" t="s">
        <v>111</v>
      </c>
      <c r="J133" s="339"/>
      <c r="K133" s="339"/>
      <c r="L133" s="339"/>
      <c r="M133" s="339"/>
      <c r="N133" s="340"/>
    </row>
    <row r="134" spans="2:21" ht="15.75" thickBot="1" x14ac:dyDescent="0.3">
      <c r="B134" s="83" t="s">
        <v>90</v>
      </c>
      <c r="C134" s="79">
        <f>'Zoom Indicateurs 2025'!C39</f>
        <v>40</v>
      </c>
      <c r="D134" s="80"/>
      <c r="E134" s="81" t="s">
        <v>91</v>
      </c>
      <c r="F134" s="79">
        <f>'Zoom Indicateurs 2025'!C40</f>
        <v>0.4</v>
      </c>
      <c r="G134" s="80"/>
    </row>
  </sheetData>
  <mergeCells count="79">
    <mergeCell ref="AD43:AE43"/>
    <mergeCell ref="AG43:AH43"/>
    <mergeCell ref="AD26:AI26"/>
    <mergeCell ref="AD27:AE27"/>
    <mergeCell ref="AG27:AH27"/>
    <mergeCell ref="AD42:AI42"/>
    <mergeCell ref="I133:N133"/>
    <mergeCell ref="B129:U129"/>
    <mergeCell ref="B131:G131"/>
    <mergeCell ref="I131:N131"/>
    <mergeCell ref="B132:G132"/>
    <mergeCell ref="I132:N132"/>
    <mergeCell ref="I107:N107"/>
    <mergeCell ref="I56:K56"/>
    <mergeCell ref="L56:N56"/>
    <mergeCell ref="I57:K57"/>
    <mergeCell ref="B77:U77"/>
    <mergeCell ref="B79:G79"/>
    <mergeCell ref="I79:Q79"/>
    <mergeCell ref="B80:G80"/>
    <mergeCell ref="I80:Q80"/>
    <mergeCell ref="I81:Q81"/>
    <mergeCell ref="B103:U103"/>
    <mergeCell ref="B105:G105"/>
    <mergeCell ref="I105:N105"/>
    <mergeCell ref="B106:G106"/>
    <mergeCell ref="I106:N106"/>
    <mergeCell ref="C56:D56"/>
    <mergeCell ref="B54:G54"/>
    <mergeCell ref="I54:N54"/>
    <mergeCell ref="P54:U54"/>
    <mergeCell ref="B55:G55"/>
    <mergeCell ref="I55:N55"/>
    <mergeCell ref="P55:Q55"/>
    <mergeCell ref="S55:T55"/>
    <mergeCell ref="W31:X31"/>
    <mergeCell ref="Z31:AA31"/>
    <mergeCell ref="I33:J33"/>
    <mergeCell ref="L33:M33"/>
    <mergeCell ref="I32:M32"/>
    <mergeCell ref="I31:N31"/>
    <mergeCell ref="AK28:AP28"/>
    <mergeCell ref="P29:U29"/>
    <mergeCell ref="B30:G30"/>
    <mergeCell ref="AK29:AP29"/>
    <mergeCell ref="P30:Q30"/>
    <mergeCell ref="S30:T30"/>
    <mergeCell ref="AK30:AP30"/>
    <mergeCell ref="W30:X30"/>
    <mergeCell ref="Z30:AA30"/>
    <mergeCell ref="W29:AB29"/>
    <mergeCell ref="B29:G29"/>
    <mergeCell ref="B1:U1"/>
    <mergeCell ref="B2:U2"/>
    <mergeCell ref="B4:G4"/>
    <mergeCell ref="I4:N4"/>
    <mergeCell ref="P4:U4"/>
    <mergeCell ref="AB78:AG78"/>
    <mergeCell ref="AB79:AG79"/>
    <mergeCell ref="AE80:AF80"/>
    <mergeCell ref="AE81:AF81"/>
    <mergeCell ref="AB80:AC80"/>
    <mergeCell ref="AB81:AC81"/>
    <mergeCell ref="F56:G56"/>
    <mergeCell ref="C57:D57"/>
    <mergeCell ref="F57:G57"/>
    <mergeCell ref="W4:AB4"/>
    <mergeCell ref="W5:X5"/>
    <mergeCell ref="Z5:AA5"/>
    <mergeCell ref="W6:X6"/>
    <mergeCell ref="Z6:AA6"/>
    <mergeCell ref="P5:Q5"/>
    <mergeCell ref="S5:T5"/>
    <mergeCell ref="B52:U52"/>
    <mergeCell ref="P6:Q6"/>
    <mergeCell ref="S6:T6"/>
    <mergeCell ref="P7:Q7"/>
    <mergeCell ref="S7:T7"/>
    <mergeCell ref="B27:AB2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2659-99C2-4414-8954-F3BA277A4AF4}">
  <sheetPr>
    <outlinePr summaryBelow="0"/>
    <pageSetUpPr fitToPage="1"/>
  </sheetPr>
  <dimension ref="B2:D51"/>
  <sheetViews>
    <sheetView workbookViewId="0"/>
  </sheetViews>
  <sheetFormatPr baseColWidth="10" defaultColWidth="11.42578125" defaultRowHeight="15" outlineLevelRow="1" x14ac:dyDescent="0.25"/>
  <cols>
    <col min="2" max="2" width="40.85546875" customWidth="1"/>
    <col min="3" max="4" width="14.140625" customWidth="1"/>
  </cols>
  <sheetData>
    <row r="2" spans="2:4" ht="27.75" customHeight="1" x14ac:dyDescent="0.25">
      <c r="B2" s="187" t="s">
        <v>113</v>
      </c>
      <c r="C2" s="188" t="s">
        <v>2</v>
      </c>
      <c r="D2" s="189" t="s">
        <v>114</v>
      </c>
    </row>
    <row r="3" spans="2:4" ht="30" x14ac:dyDescent="0.25">
      <c r="B3" s="190" t="s">
        <v>16</v>
      </c>
      <c r="C3" s="98"/>
      <c r="D3" s="191"/>
    </row>
    <row r="4" spans="2:4" outlineLevel="1" x14ac:dyDescent="0.25">
      <c r="B4" s="99" t="s">
        <v>17</v>
      </c>
      <c r="C4" s="170">
        <v>11</v>
      </c>
      <c r="D4" s="192">
        <v>22</v>
      </c>
    </row>
    <row r="5" spans="2:4" outlineLevel="1" x14ac:dyDescent="0.25">
      <c r="B5" s="100" t="s">
        <v>20</v>
      </c>
      <c r="C5" s="171">
        <v>8</v>
      </c>
      <c r="D5" s="193">
        <v>20</v>
      </c>
    </row>
    <row r="6" spans="2:4" outlineLevel="1" x14ac:dyDescent="0.25">
      <c r="B6" s="103" t="s">
        <v>21</v>
      </c>
      <c r="C6" s="171">
        <v>8</v>
      </c>
      <c r="D6" s="194">
        <v>8</v>
      </c>
    </row>
    <row r="7" spans="2:4" outlineLevel="1" x14ac:dyDescent="0.25">
      <c r="B7" s="103" t="s">
        <v>22</v>
      </c>
      <c r="C7" s="101">
        <v>5</v>
      </c>
      <c r="D7" s="195">
        <v>5</v>
      </c>
    </row>
    <row r="8" spans="2:4" outlineLevel="1" x14ac:dyDescent="0.25">
      <c r="B8" s="103" t="s">
        <v>23</v>
      </c>
      <c r="C8" s="101">
        <v>10</v>
      </c>
      <c r="D8" s="195">
        <v>10</v>
      </c>
    </row>
    <row r="9" spans="2:4" outlineLevel="1" x14ac:dyDescent="0.25">
      <c r="B9" s="100" t="s">
        <v>24</v>
      </c>
      <c r="C9" s="104">
        <v>0.95</v>
      </c>
      <c r="D9" s="196">
        <v>0.95</v>
      </c>
    </row>
    <row r="10" spans="2:4" outlineLevel="1" x14ac:dyDescent="0.25">
      <c r="B10" s="100" t="s">
        <v>26</v>
      </c>
      <c r="C10" s="104">
        <v>0.85</v>
      </c>
      <c r="D10" s="196">
        <v>0.85</v>
      </c>
    </row>
    <row r="11" spans="2:4" outlineLevel="1" x14ac:dyDescent="0.25">
      <c r="B11" s="100" t="s">
        <v>27</v>
      </c>
      <c r="C11" s="104">
        <v>0.95</v>
      </c>
      <c r="D11" s="196">
        <v>0.95</v>
      </c>
    </row>
    <row r="12" spans="2:4" outlineLevel="1" x14ac:dyDescent="0.25">
      <c r="B12" s="100" t="s">
        <v>29</v>
      </c>
      <c r="C12" s="104">
        <v>0.8</v>
      </c>
      <c r="D12" s="196">
        <v>0.8</v>
      </c>
    </row>
    <row r="13" spans="2:4" collapsed="1" x14ac:dyDescent="0.25">
      <c r="B13" s="347" t="s">
        <v>30</v>
      </c>
      <c r="C13" s="348"/>
      <c r="D13" s="349"/>
    </row>
    <row r="14" spans="2:4" hidden="1" outlineLevel="1" x14ac:dyDescent="0.25">
      <c r="B14" s="103" t="s">
        <v>31</v>
      </c>
      <c r="C14" s="102">
        <v>18</v>
      </c>
      <c r="D14" s="193">
        <v>18</v>
      </c>
    </row>
    <row r="15" spans="2:4" hidden="1" outlineLevel="1" x14ac:dyDescent="0.25">
      <c r="B15" s="103" t="s">
        <v>33</v>
      </c>
      <c r="C15" s="105">
        <v>0.5</v>
      </c>
      <c r="D15" s="197">
        <v>0.5</v>
      </c>
    </row>
    <row r="16" spans="2:4" hidden="1" outlineLevel="1" x14ac:dyDescent="0.25">
      <c r="B16" s="100" t="s">
        <v>34</v>
      </c>
      <c r="C16" s="106">
        <v>0</v>
      </c>
      <c r="D16" s="198">
        <v>0</v>
      </c>
    </row>
    <row r="17" spans="2:4" hidden="1" outlineLevel="1" x14ac:dyDescent="0.25">
      <c r="B17" s="100" t="s">
        <v>35</v>
      </c>
      <c r="C17" s="106">
        <v>0</v>
      </c>
      <c r="D17" s="198">
        <v>0</v>
      </c>
    </row>
    <row r="18" spans="2:4" hidden="1" outlineLevel="1" x14ac:dyDescent="0.25">
      <c r="B18" s="100" t="s">
        <v>36</v>
      </c>
      <c r="C18" s="107">
        <v>1</v>
      </c>
      <c r="D18" s="199">
        <v>1</v>
      </c>
    </row>
    <row r="19" spans="2:4" hidden="1" outlineLevel="1" x14ac:dyDescent="0.25">
      <c r="B19" s="100" t="s">
        <v>37</v>
      </c>
      <c r="C19" s="104">
        <v>1</v>
      </c>
      <c r="D19" s="196">
        <v>1</v>
      </c>
    </row>
    <row r="20" spans="2:4" hidden="1" outlineLevel="1" x14ac:dyDescent="0.25">
      <c r="B20" s="103" t="s">
        <v>38</v>
      </c>
      <c r="C20" s="101">
        <v>8</v>
      </c>
      <c r="D20" s="195">
        <v>8</v>
      </c>
    </row>
    <row r="21" spans="2:4" x14ac:dyDescent="0.25">
      <c r="B21" s="350" t="s">
        <v>39</v>
      </c>
      <c r="C21" s="351"/>
      <c r="D21" s="352"/>
    </row>
    <row r="22" spans="2:4" outlineLevel="1" x14ac:dyDescent="0.25">
      <c r="B22" s="103" t="s">
        <v>31</v>
      </c>
      <c r="C22" s="171">
        <v>15</v>
      </c>
      <c r="D22" s="193">
        <v>15</v>
      </c>
    </row>
    <row r="23" spans="2:4" outlineLevel="1" x14ac:dyDescent="0.25">
      <c r="B23" s="103" t="s">
        <v>33</v>
      </c>
      <c r="C23" s="172">
        <v>0.35</v>
      </c>
      <c r="D23" s="200">
        <v>0.3</v>
      </c>
    </row>
    <row r="24" spans="2:4" outlineLevel="1" x14ac:dyDescent="0.25">
      <c r="B24" s="100" t="s">
        <v>34</v>
      </c>
      <c r="C24" s="173">
        <v>2</v>
      </c>
      <c r="D24" s="201">
        <v>2</v>
      </c>
    </row>
    <row r="25" spans="2:4" outlineLevel="1" x14ac:dyDescent="0.25">
      <c r="B25" s="100" t="s">
        <v>35</v>
      </c>
      <c r="C25" s="173">
        <v>1</v>
      </c>
      <c r="D25" s="201">
        <v>1</v>
      </c>
    </row>
    <row r="26" spans="2:4" outlineLevel="1" x14ac:dyDescent="0.25">
      <c r="B26" s="100" t="s">
        <v>36</v>
      </c>
      <c r="C26" s="107">
        <v>1</v>
      </c>
      <c r="D26" s="199">
        <v>1</v>
      </c>
    </row>
    <row r="27" spans="2:4" outlineLevel="1" x14ac:dyDescent="0.25">
      <c r="B27" s="100" t="s">
        <v>37</v>
      </c>
      <c r="C27" s="104">
        <v>1</v>
      </c>
      <c r="D27" s="196">
        <v>1</v>
      </c>
    </row>
    <row r="28" spans="2:4" outlineLevel="1" x14ac:dyDescent="0.25">
      <c r="B28" s="103" t="s">
        <v>38</v>
      </c>
      <c r="C28" s="171">
        <v>10</v>
      </c>
      <c r="D28" s="193">
        <v>8</v>
      </c>
    </row>
    <row r="29" spans="2:4" collapsed="1" x14ac:dyDescent="0.25">
      <c r="B29" s="353" t="s">
        <v>42</v>
      </c>
      <c r="C29" s="354"/>
      <c r="D29" s="355"/>
    </row>
    <row r="30" spans="2:4" hidden="1" outlineLevel="1" x14ac:dyDescent="0.25">
      <c r="B30" s="103" t="s">
        <v>31</v>
      </c>
      <c r="C30" s="101">
        <v>45</v>
      </c>
      <c r="D30" s="195">
        <v>45</v>
      </c>
    </row>
    <row r="31" spans="2:4" hidden="1" outlineLevel="1" x14ac:dyDescent="0.25">
      <c r="B31" s="103" t="s">
        <v>33</v>
      </c>
      <c r="C31" s="105">
        <v>1.5</v>
      </c>
      <c r="D31" s="197">
        <v>1.5</v>
      </c>
    </row>
    <row r="32" spans="2:4" hidden="1" outlineLevel="1" x14ac:dyDescent="0.25">
      <c r="B32" s="100" t="s">
        <v>35</v>
      </c>
      <c r="C32" s="106" t="s">
        <v>41</v>
      </c>
      <c r="D32" s="198" t="s">
        <v>41</v>
      </c>
    </row>
    <row r="33" spans="2:4" hidden="1" outlineLevel="1" x14ac:dyDescent="0.25">
      <c r="B33" s="100" t="s">
        <v>34</v>
      </c>
      <c r="C33" s="106" t="s">
        <v>41</v>
      </c>
      <c r="D33" s="198" t="s">
        <v>41</v>
      </c>
    </row>
    <row r="34" spans="2:4" hidden="1" outlineLevel="1" x14ac:dyDescent="0.25">
      <c r="B34" s="100" t="s">
        <v>43</v>
      </c>
      <c r="C34" s="106" t="s">
        <v>41</v>
      </c>
      <c r="D34" s="198" t="s">
        <v>41</v>
      </c>
    </row>
    <row r="35" spans="2:4" hidden="1" outlineLevel="1" x14ac:dyDescent="0.25">
      <c r="B35" s="100" t="s">
        <v>115</v>
      </c>
      <c r="C35" s="106" t="s">
        <v>41</v>
      </c>
      <c r="D35" s="198" t="s">
        <v>41</v>
      </c>
    </row>
    <row r="36" spans="2:4" hidden="1" outlineLevel="1" x14ac:dyDescent="0.25">
      <c r="B36" s="100" t="s">
        <v>116</v>
      </c>
      <c r="C36" s="108">
        <v>0.2</v>
      </c>
      <c r="D36" s="202">
        <v>0.2</v>
      </c>
    </row>
    <row r="37" spans="2:4" hidden="1" outlineLevel="1" x14ac:dyDescent="0.25">
      <c r="B37" s="103" t="s">
        <v>38</v>
      </c>
      <c r="C37" s="101">
        <v>2</v>
      </c>
      <c r="D37" s="195">
        <v>2</v>
      </c>
    </row>
    <row r="38" spans="2:4" x14ac:dyDescent="0.25">
      <c r="B38" s="356" t="s">
        <v>46</v>
      </c>
      <c r="C38" s="357"/>
      <c r="D38" s="358"/>
    </row>
    <row r="39" spans="2:4" outlineLevel="1" x14ac:dyDescent="0.25">
      <c r="B39" s="103" t="s">
        <v>31</v>
      </c>
      <c r="C39" s="102">
        <v>40</v>
      </c>
      <c r="D39" s="193">
        <v>40</v>
      </c>
    </row>
    <row r="40" spans="2:4" outlineLevel="1" x14ac:dyDescent="0.25">
      <c r="B40" s="103" t="s">
        <v>33</v>
      </c>
      <c r="C40" s="109">
        <v>0.4</v>
      </c>
      <c r="D40" s="200">
        <v>0.4</v>
      </c>
    </row>
    <row r="41" spans="2:4" outlineLevel="1" x14ac:dyDescent="0.25">
      <c r="B41" s="100" t="s">
        <v>34</v>
      </c>
      <c r="C41" s="106" t="s">
        <v>41</v>
      </c>
      <c r="D41" s="198" t="s">
        <v>41</v>
      </c>
    </row>
    <row r="42" spans="2:4" outlineLevel="1" x14ac:dyDescent="0.25">
      <c r="B42" s="100" t="s">
        <v>35</v>
      </c>
      <c r="C42" s="106" t="s">
        <v>41</v>
      </c>
      <c r="D42" s="198" t="s">
        <v>41</v>
      </c>
    </row>
    <row r="43" spans="2:4" outlineLevel="1" x14ac:dyDescent="0.25">
      <c r="B43" s="100" t="s">
        <v>47</v>
      </c>
      <c r="C43" s="106" t="s">
        <v>41</v>
      </c>
      <c r="D43" s="198" t="s">
        <v>41</v>
      </c>
    </row>
    <row r="44" spans="2:4" outlineLevel="1" x14ac:dyDescent="0.25">
      <c r="B44" s="110" t="s">
        <v>37</v>
      </c>
      <c r="C44" s="111">
        <v>1</v>
      </c>
      <c r="D44" s="203">
        <v>1</v>
      </c>
    </row>
    <row r="45" spans="2:4" collapsed="1" x14ac:dyDescent="0.25">
      <c r="B45" s="344" t="s">
        <v>48</v>
      </c>
      <c r="C45" s="345"/>
      <c r="D45" s="346"/>
    </row>
    <row r="46" spans="2:4" hidden="1" outlineLevel="1" x14ac:dyDescent="0.25">
      <c r="B46" s="103" t="s">
        <v>31</v>
      </c>
      <c r="C46" s="101">
        <v>50</v>
      </c>
      <c r="D46" s="195">
        <v>50</v>
      </c>
    </row>
    <row r="47" spans="2:4" hidden="1" outlineLevel="1" x14ac:dyDescent="0.25">
      <c r="B47" s="103" t="s">
        <v>33</v>
      </c>
      <c r="C47" s="105">
        <v>0.5</v>
      </c>
      <c r="D47" s="197">
        <v>0.5</v>
      </c>
    </row>
    <row r="48" spans="2:4" hidden="1" outlineLevel="1" x14ac:dyDescent="0.25">
      <c r="B48" s="100" t="s">
        <v>34</v>
      </c>
      <c r="C48" s="106" t="s">
        <v>41</v>
      </c>
      <c r="D48" s="198" t="s">
        <v>41</v>
      </c>
    </row>
    <row r="49" spans="2:4" hidden="1" outlineLevel="1" x14ac:dyDescent="0.25">
      <c r="B49" s="100" t="s">
        <v>35</v>
      </c>
      <c r="C49" s="106" t="s">
        <v>41</v>
      </c>
      <c r="D49" s="198" t="s">
        <v>41</v>
      </c>
    </row>
    <row r="50" spans="2:4" hidden="1" outlineLevel="1" x14ac:dyDescent="0.25">
      <c r="B50" s="100" t="s">
        <v>47</v>
      </c>
      <c r="C50" s="106" t="s">
        <v>41</v>
      </c>
      <c r="D50" s="198" t="s">
        <v>41</v>
      </c>
    </row>
    <row r="51" spans="2:4" hidden="1" outlineLevel="1" x14ac:dyDescent="0.25">
      <c r="B51" s="100" t="s">
        <v>37</v>
      </c>
      <c r="C51" s="204">
        <v>1</v>
      </c>
      <c r="D51" s="205">
        <v>1</v>
      </c>
    </row>
  </sheetData>
  <mergeCells count="5">
    <mergeCell ref="B45:D45"/>
    <mergeCell ref="B13:D13"/>
    <mergeCell ref="B21:D21"/>
    <mergeCell ref="B29:D29"/>
    <mergeCell ref="B38:D38"/>
  </mergeCells>
  <pageMargins left="0.24" right="0.27" top="0.75" bottom="0.34" header="0.3" footer="0.3"/>
  <pageSetup paperSize="8"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40CC-D278-41A0-870E-1D02CFAAF6AB}">
  <dimension ref="A1:F4"/>
  <sheetViews>
    <sheetView workbookViewId="0"/>
  </sheetViews>
  <sheetFormatPr baseColWidth="10" defaultRowHeight="15" x14ac:dyDescent="0.25"/>
  <sheetData>
    <row r="1" spans="1:6" x14ac:dyDescent="0.25">
      <c r="A1" s="206" t="s">
        <v>139</v>
      </c>
    </row>
    <row r="3" spans="1:6" x14ac:dyDescent="0.25">
      <c r="A3" t="s">
        <v>124</v>
      </c>
      <c r="B3" t="s">
        <v>134</v>
      </c>
      <c r="C3" t="s">
        <v>135</v>
      </c>
      <c r="D3" t="s">
        <v>125</v>
      </c>
      <c r="E3" t="s">
        <v>138</v>
      </c>
      <c r="F3" t="s">
        <v>126</v>
      </c>
    </row>
    <row r="4" spans="1:6" x14ac:dyDescent="0.25">
      <c r="A4" t="s">
        <v>120</v>
      </c>
      <c r="B4">
        <v>18</v>
      </c>
      <c r="C4">
        <v>18</v>
      </c>
      <c r="D4">
        <v>16</v>
      </c>
      <c r="E4">
        <v>20</v>
      </c>
      <c r="F4">
        <v>72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218A-D028-4CC9-938E-B95F6A9700B6}">
  <dimension ref="B3:L54"/>
  <sheetViews>
    <sheetView tabSelected="1" topLeftCell="A38" workbookViewId="0">
      <selection activeCell="I62" sqref="I62"/>
    </sheetView>
  </sheetViews>
  <sheetFormatPr baseColWidth="10" defaultColWidth="11.42578125" defaultRowHeight="15" x14ac:dyDescent="0.25"/>
  <cols>
    <col min="2" max="2" width="14.140625" customWidth="1"/>
    <col min="3" max="3" width="9.85546875" bestFit="1" customWidth="1"/>
    <col min="4" max="6" width="9.85546875" customWidth="1"/>
    <col min="7" max="7" width="13.42578125" bestFit="1" customWidth="1"/>
    <col min="8" max="8" width="13.42578125" customWidth="1"/>
    <col min="9" max="10" width="21" bestFit="1" customWidth="1"/>
    <col min="11" max="11" width="15.28515625" bestFit="1" customWidth="1"/>
    <col min="12" max="12" width="16.42578125" bestFit="1" customWidth="1"/>
    <col min="13" max="13" width="15.28515625" bestFit="1" customWidth="1"/>
    <col min="14" max="14" width="16.42578125" bestFit="1" customWidth="1"/>
    <col min="15" max="17" width="15.28515625" bestFit="1" customWidth="1"/>
    <col min="18" max="19" width="20.85546875" bestFit="1" customWidth="1"/>
    <col min="20" max="20" width="24.5703125" bestFit="1" customWidth="1"/>
    <col min="21" max="21" width="6.85546875" bestFit="1" customWidth="1"/>
    <col min="22" max="22" width="12.5703125" bestFit="1" customWidth="1"/>
    <col min="23" max="23" width="7.85546875" bestFit="1" customWidth="1"/>
    <col min="24" max="24" width="12.5703125" bestFit="1" customWidth="1"/>
  </cols>
  <sheetData>
    <row r="3" spans="2:10" x14ac:dyDescent="0.25">
      <c r="G3" s="120" t="s">
        <v>117</v>
      </c>
      <c r="H3" t="s">
        <v>118</v>
      </c>
      <c r="I3" t="s">
        <v>119</v>
      </c>
    </row>
    <row r="4" spans="2:10" x14ac:dyDescent="0.25">
      <c r="G4" s="123" t="s">
        <v>120</v>
      </c>
      <c r="H4">
        <v>110</v>
      </c>
      <c r="I4" s="121">
        <v>0.7857142857142857</v>
      </c>
    </row>
    <row r="5" spans="2:10" x14ac:dyDescent="0.25">
      <c r="G5" s="123" t="s">
        <v>121</v>
      </c>
      <c r="H5">
        <v>13</v>
      </c>
      <c r="I5" s="121">
        <v>9.285714285714286E-2</v>
      </c>
    </row>
    <row r="6" spans="2:10" x14ac:dyDescent="0.25">
      <c r="G6" s="123" t="s">
        <v>122</v>
      </c>
      <c r="H6">
        <v>2</v>
      </c>
      <c r="I6" s="121">
        <v>1.4285714285714285E-2</v>
      </c>
    </row>
    <row r="7" spans="2:10" x14ac:dyDescent="0.25">
      <c r="B7" t="s">
        <v>39</v>
      </c>
      <c r="G7" s="123" t="s">
        <v>123</v>
      </c>
      <c r="H7">
        <v>15</v>
      </c>
      <c r="I7" s="121">
        <v>0.10714285714285714</v>
      </c>
    </row>
    <row r="8" spans="2:10" x14ac:dyDescent="0.25">
      <c r="G8" s="123" t="s">
        <v>127</v>
      </c>
      <c r="H8">
        <v>140</v>
      </c>
      <c r="I8" s="121">
        <v>1</v>
      </c>
    </row>
    <row r="11" spans="2:10" x14ac:dyDescent="0.25">
      <c r="B11" t="s">
        <v>124</v>
      </c>
      <c r="C11" t="s">
        <v>134</v>
      </c>
      <c r="D11" t="s">
        <v>135</v>
      </c>
      <c r="E11" t="s">
        <v>151</v>
      </c>
      <c r="F11" t="s">
        <v>125</v>
      </c>
      <c r="G11" t="s">
        <v>125</v>
      </c>
      <c r="H11" t="s">
        <v>137</v>
      </c>
      <c r="I11" t="s">
        <v>126</v>
      </c>
    </row>
    <row r="12" spans="2:10" x14ac:dyDescent="0.25">
      <c r="B12" t="s">
        <v>120</v>
      </c>
      <c r="C12">
        <v>18</v>
      </c>
      <c r="D12">
        <v>18</v>
      </c>
      <c r="E12">
        <v>17</v>
      </c>
      <c r="F12">
        <v>16</v>
      </c>
      <c r="G12">
        <v>22</v>
      </c>
      <c r="H12">
        <v>19</v>
      </c>
      <c r="I12">
        <f>SUM(C12:H12)</f>
        <v>110</v>
      </c>
      <c r="J12" s="122"/>
    </row>
    <row r="13" spans="2:10" x14ac:dyDescent="0.25">
      <c r="B13" t="s">
        <v>121</v>
      </c>
      <c r="C13">
        <v>2</v>
      </c>
      <c r="D13">
        <v>1</v>
      </c>
      <c r="E13">
        <v>8</v>
      </c>
      <c r="F13">
        <v>2</v>
      </c>
      <c r="G13">
        <v>0</v>
      </c>
      <c r="H13">
        <v>0</v>
      </c>
      <c r="I13">
        <f>SUM(C13:H13)</f>
        <v>13</v>
      </c>
    </row>
    <row r="14" spans="2:10" x14ac:dyDescent="0.25">
      <c r="B14" t="s">
        <v>122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f>SUM(C14:H14)</f>
        <v>2</v>
      </c>
    </row>
    <row r="15" spans="2:10" x14ac:dyDescent="0.25">
      <c r="B15" t="s">
        <v>123</v>
      </c>
      <c r="C15">
        <v>0</v>
      </c>
      <c r="D15">
        <v>3</v>
      </c>
      <c r="E15">
        <v>0</v>
      </c>
      <c r="F15">
        <v>9</v>
      </c>
      <c r="G15">
        <v>2</v>
      </c>
      <c r="H15">
        <v>1</v>
      </c>
      <c r="I15">
        <f>SUM(C15:H15)</f>
        <v>15</v>
      </c>
    </row>
    <row r="22" spans="2:11" x14ac:dyDescent="0.25">
      <c r="B22" t="s">
        <v>48</v>
      </c>
    </row>
    <row r="24" spans="2:11" x14ac:dyDescent="0.25">
      <c r="B24" t="s">
        <v>124</v>
      </c>
      <c r="C24" t="s">
        <v>134</v>
      </c>
      <c r="D24" t="s">
        <v>135</v>
      </c>
      <c r="E24" t="s">
        <v>151</v>
      </c>
      <c r="F24" t="s">
        <v>137</v>
      </c>
      <c r="G24" t="s">
        <v>152</v>
      </c>
      <c r="H24" t="s">
        <v>126</v>
      </c>
    </row>
    <row r="25" spans="2:11" x14ac:dyDescent="0.25">
      <c r="B25" t="s">
        <v>120</v>
      </c>
      <c r="C25">
        <v>18</v>
      </c>
      <c r="D25">
        <v>18</v>
      </c>
      <c r="E25">
        <v>17</v>
      </c>
      <c r="F25">
        <v>19</v>
      </c>
      <c r="G25">
        <v>23</v>
      </c>
      <c r="H25">
        <f>SUM(C25:G25)</f>
        <v>95</v>
      </c>
    </row>
    <row r="26" spans="2:11" x14ac:dyDescent="0.25">
      <c r="B26" t="s">
        <v>121</v>
      </c>
      <c r="C26">
        <v>2</v>
      </c>
      <c r="D26">
        <v>1</v>
      </c>
      <c r="E26">
        <v>8</v>
      </c>
      <c r="F26">
        <v>0</v>
      </c>
      <c r="G26">
        <v>1</v>
      </c>
      <c r="H26">
        <f>SUM(C26:G26)</f>
        <v>12</v>
      </c>
    </row>
    <row r="27" spans="2:11" x14ac:dyDescent="0.25">
      <c r="B27" t="s">
        <v>122</v>
      </c>
      <c r="C27">
        <v>0</v>
      </c>
      <c r="D27">
        <v>0</v>
      </c>
      <c r="E27">
        <v>2</v>
      </c>
      <c r="F27">
        <v>0</v>
      </c>
      <c r="G27">
        <v>0</v>
      </c>
      <c r="H27">
        <f>SUM(C27:G27)</f>
        <v>2</v>
      </c>
    </row>
    <row r="28" spans="2:11" x14ac:dyDescent="0.25">
      <c r="B28" t="s">
        <v>123</v>
      </c>
      <c r="C28">
        <v>0</v>
      </c>
      <c r="D28">
        <v>3</v>
      </c>
      <c r="E28">
        <v>0</v>
      </c>
      <c r="F28">
        <v>1</v>
      </c>
      <c r="G28">
        <v>3</v>
      </c>
      <c r="H28">
        <f>SUM(C28:G28)</f>
        <v>7</v>
      </c>
    </row>
    <row r="31" spans="2:11" x14ac:dyDescent="0.25">
      <c r="I31" s="120" t="s">
        <v>117</v>
      </c>
      <c r="J31" t="s">
        <v>118</v>
      </c>
      <c r="K31" t="s">
        <v>119</v>
      </c>
    </row>
    <row r="32" spans="2:11" x14ac:dyDescent="0.25">
      <c r="I32" s="123" t="s">
        <v>120</v>
      </c>
      <c r="J32">
        <v>95</v>
      </c>
      <c r="K32" s="121">
        <v>0.81896551724137934</v>
      </c>
    </row>
    <row r="33" spans="2:11" x14ac:dyDescent="0.25">
      <c r="I33" s="123" t="s">
        <v>121</v>
      </c>
      <c r="J33">
        <v>12</v>
      </c>
      <c r="K33" s="121">
        <v>0.10344827586206896</v>
      </c>
    </row>
    <row r="34" spans="2:11" x14ac:dyDescent="0.25">
      <c r="I34" s="123" t="s">
        <v>123</v>
      </c>
      <c r="J34">
        <v>7</v>
      </c>
      <c r="K34" s="121">
        <v>6.0344827586206899E-2</v>
      </c>
    </row>
    <row r="35" spans="2:11" x14ac:dyDescent="0.25">
      <c r="I35" s="123" t="s">
        <v>122</v>
      </c>
      <c r="J35">
        <v>2</v>
      </c>
      <c r="K35" s="121">
        <v>1.7241379310344827E-2</v>
      </c>
    </row>
    <row r="36" spans="2:11" x14ac:dyDescent="0.25">
      <c r="I36" s="123" t="s">
        <v>127</v>
      </c>
      <c r="J36">
        <v>116</v>
      </c>
      <c r="K36" s="121">
        <v>1</v>
      </c>
    </row>
    <row r="46" spans="2:11" x14ac:dyDescent="0.25">
      <c r="B46" t="s">
        <v>42</v>
      </c>
    </row>
    <row r="48" spans="2:11" x14ac:dyDescent="0.25">
      <c r="B48" t="s">
        <v>124</v>
      </c>
      <c r="C48" t="s">
        <v>134</v>
      </c>
      <c r="D48" t="s">
        <v>135</v>
      </c>
      <c r="E48" t="s">
        <v>156</v>
      </c>
      <c r="F48" t="s">
        <v>137</v>
      </c>
      <c r="G48" t="s">
        <v>152</v>
      </c>
      <c r="H48" t="s">
        <v>126</v>
      </c>
    </row>
    <row r="49" spans="2:12" x14ac:dyDescent="0.25">
      <c r="B49" t="s">
        <v>120</v>
      </c>
      <c r="C49">
        <v>18</v>
      </c>
      <c r="D49">
        <v>18</v>
      </c>
      <c r="E49">
        <v>23</v>
      </c>
      <c r="F49">
        <v>19</v>
      </c>
      <c r="G49">
        <v>23</v>
      </c>
      <c r="H49">
        <f>SUM(C49:G49)</f>
        <v>101</v>
      </c>
      <c r="J49" s="120" t="s">
        <v>117</v>
      </c>
      <c r="K49" t="s">
        <v>118</v>
      </c>
      <c r="L49" t="s">
        <v>119</v>
      </c>
    </row>
    <row r="50" spans="2:12" x14ac:dyDescent="0.25">
      <c r="B50" t="s">
        <v>121</v>
      </c>
      <c r="C50">
        <v>2</v>
      </c>
      <c r="D50">
        <v>1</v>
      </c>
      <c r="E50">
        <v>2</v>
      </c>
      <c r="F50">
        <v>0</v>
      </c>
      <c r="G50">
        <v>1</v>
      </c>
      <c r="H50">
        <f>SUM(C50:G50)</f>
        <v>6</v>
      </c>
      <c r="J50" s="123" t="s">
        <v>120</v>
      </c>
      <c r="K50" s="365">
        <v>101</v>
      </c>
      <c r="L50" s="121">
        <v>0.86324786324786329</v>
      </c>
    </row>
    <row r="51" spans="2:12" x14ac:dyDescent="0.25">
      <c r="B51" t="s">
        <v>122</v>
      </c>
      <c r="C51">
        <v>0</v>
      </c>
      <c r="D51">
        <v>0</v>
      </c>
      <c r="E51">
        <v>2</v>
      </c>
      <c r="F51">
        <v>0</v>
      </c>
      <c r="G51">
        <v>0</v>
      </c>
      <c r="H51">
        <f>SUM(C51:G51)</f>
        <v>2</v>
      </c>
      <c r="J51" s="123" t="s">
        <v>121</v>
      </c>
      <c r="K51" s="365">
        <v>6</v>
      </c>
      <c r="L51" s="121">
        <v>5.128205128205128E-2</v>
      </c>
    </row>
    <row r="52" spans="2:12" x14ac:dyDescent="0.25">
      <c r="B52" t="s">
        <v>123</v>
      </c>
      <c r="C52">
        <v>0</v>
      </c>
      <c r="D52">
        <v>3</v>
      </c>
      <c r="E52">
        <v>1</v>
      </c>
      <c r="F52">
        <v>1</v>
      </c>
      <c r="G52">
        <v>3</v>
      </c>
      <c r="H52">
        <f>SUM(C52:G52)</f>
        <v>8</v>
      </c>
      <c r="J52" s="123" t="s">
        <v>123</v>
      </c>
      <c r="K52" s="365">
        <v>8</v>
      </c>
      <c r="L52" s="121">
        <v>6.8376068376068383E-2</v>
      </c>
    </row>
    <row r="53" spans="2:12" x14ac:dyDescent="0.25">
      <c r="J53" s="123" t="s">
        <v>122</v>
      </c>
      <c r="K53" s="365">
        <v>2</v>
      </c>
      <c r="L53" s="121">
        <v>1.7094017094017096E-2</v>
      </c>
    </row>
    <row r="54" spans="2:12" x14ac:dyDescent="0.25">
      <c r="J54" s="123" t="s">
        <v>127</v>
      </c>
      <c r="K54" s="365">
        <v>117</v>
      </c>
      <c r="L54" s="121">
        <v>1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B1:W25"/>
  <sheetViews>
    <sheetView workbookViewId="0"/>
  </sheetViews>
  <sheetFormatPr baseColWidth="10" defaultColWidth="11.42578125" defaultRowHeight="15" x14ac:dyDescent="0.25"/>
  <cols>
    <col min="1" max="1" width="3.85546875" customWidth="1"/>
    <col min="8" max="8" width="2.42578125" customWidth="1"/>
    <col min="15" max="15" width="3.85546875" customWidth="1"/>
  </cols>
  <sheetData>
    <row r="1" spans="2:23" ht="35.25" thickBot="1" x14ac:dyDescent="0.3">
      <c r="B1" s="284" t="s">
        <v>128</v>
      </c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</row>
    <row r="2" spans="2:23" s="23" customFormat="1" ht="27" customHeight="1" thickBot="1" x14ac:dyDescent="0.3">
      <c r="B2" s="363" t="s">
        <v>129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</row>
    <row r="3" spans="2:23" ht="10.5" customHeight="1" thickBot="1" x14ac:dyDescent="0.3"/>
    <row r="4" spans="2:23" ht="18.75" customHeight="1" thickBot="1" x14ac:dyDescent="0.3">
      <c r="B4" s="290" t="e">
        <f>'Zoom Indicateurs 2025'!#REF!</f>
        <v>#REF!</v>
      </c>
      <c r="C4" s="291"/>
      <c r="D4" s="291"/>
      <c r="E4" s="291"/>
      <c r="F4" s="291"/>
      <c r="G4" s="291"/>
      <c r="H4" s="49"/>
      <c r="I4" s="290" t="e">
        <f>'Zoom Indicateurs 2025'!#REF!</f>
        <v>#REF!</v>
      </c>
      <c r="J4" s="291"/>
      <c r="K4" s="291"/>
      <c r="L4" s="291"/>
      <c r="M4" s="291"/>
      <c r="N4" s="291"/>
      <c r="P4" s="290" t="e">
        <f>'Zoom Indicateurs 2025'!#REF!</f>
        <v>#REF!</v>
      </c>
      <c r="Q4" s="291"/>
      <c r="R4" s="291"/>
      <c r="S4" s="291"/>
      <c r="T4" s="291"/>
      <c r="U4" s="291"/>
    </row>
    <row r="5" spans="2:23" ht="18.75" customHeight="1" thickBot="1" x14ac:dyDescent="0.3">
      <c r="B5" s="361" t="s">
        <v>130</v>
      </c>
      <c r="C5" s="362"/>
      <c r="D5" s="69" t="e">
        <f>'Zoom Indicateurs 2025'!#REF!</f>
        <v>#REF!</v>
      </c>
      <c r="E5" s="359" t="s">
        <v>131</v>
      </c>
      <c r="F5" s="360"/>
      <c r="G5" s="69" t="e">
        <f>'Zoom Indicateurs 2025'!#REF!</f>
        <v>#REF!</v>
      </c>
      <c r="H5" s="49"/>
      <c r="I5" s="361" t="s">
        <v>130</v>
      </c>
      <c r="J5" s="362"/>
      <c r="K5" s="69" t="e">
        <f>'Zoom Indicateurs 2025'!#REF!</f>
        <v>#REF!</v>
      </c>
      <c r="L5" s="359" t="s">
        <v>131</v>
      </c>
      <c r="M5" s="360"/>
      <c r="N5" s="69" t="e">
        <f>'Zoom Indicateurs 2025'!#REF!</f>
        <v>#REF!</v>
      </c>
      <c r="P5" s="361" t="s">
        <v>130</v>
      </c>
      <c r="Q5" s="362"/>
      <c r="R5" s="69" t="e">
        <f>'Zoom Indicateurs 2025'!#REF!</f>
        <v>#REF!</v>
      </c>
      <c r="S5" s="359" t="s">
        <v>131</v>
      </c>
      <c r="T5" s="360"/>
      <c r="U5" s="69" t="e">
        <f>'Zoom Indicateurs 2025'!#REF!</f>
        <v>#REF!</v>
      </c>
    </row>
    <row r="10" spans="2:23" x14ac:dyDescent="0.25">
      <c r="W10" s="50"/>
    </row>
    <row r="21" spans="2:22" x14ac:dyDescent="0.25">
      <c r="V21" s="49"/>
    </row>
    <row r="23" spans="2:22" ht="15.75" thickBot="1" x14ac:dyDescent="0.3"/>
    <row r="24" spans="2:22" ht="15.75" thickBot="1" x14ac:dyDescent="0.3">
      <c r="B24" s="290" t="e">
        <f>'Zoom Indicateurs 2025'!#REF!</f>
        <v>#REF!</v>
      </c>
      <c r="C24" s="291"/>
      <c r="D24" s="291"/>
      <c r="E24" s="291"/>
      <c r="F24" s="291"/>
      <c r="G24" s="291"/>
    </row>
    <row r="25" spans="2:22" ht="15.75" thickBot="1" x14ac:dyDescent="0.3">
      <c r="B25" s="361" t="s">
        <v>130</v>
      </c>
      <c r="C25" s="362"/>
      <c r="D25" s="51" t="e">
        <f>'Zoom Indicateurs 2025'!#REF!</f>
        <v>#REF!</v>
      </c>
      <c r="E25" s="359" t="s">
        <v>131</v>
      </c>
      <c r="F25" s="360"/>
      <c r="G25" s="51" t="e">
        <f>'Zoom Indicateurs 2025'!#REF!</f>
        <v>#REF!</v>
      </c>
    </row>
  </sheetData>
  <mergeCells count="14">
    <mergeCell ref="S5:T5"/>
    <mergeCell ref="B24:G24"/>
    <mergeCell ref="B25:C25"/>
    <mergeCell ref="E25:F25"/>
    <mergeCell ref="B1:U1"/>
    <mergeCell ref="B2:U2"/>
    <mergeCell ref="B4:G4"/>
    <mergeCell ref="I4:N4"/>
    <mergeCell ref="P4:U4"/>
    <mergeCell ref="B5:C5"/>
    <mergeCell ref="E5:F5"/>
    <mergeCell ref="I5:J5"/>
    <mergeCell ref="L5:M5"/>
    <mergeCell ref="P5:Q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e1dbaa-f5ec-430a-8172-198371c9900d">
      <Terms xmlns="http://schemas.microsoft.com/office/infopath/2007/PartnerControls"/>
    </lcf76f155ced4ddcb4097134ff3c332f>
    <TaxCatchAll xmlns="a0a5e279-8f11-4bbc-a612-8fcc5e01f49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4EF3B605E56043AA1FF4303F9DB698" ma:contentTypeVersion="16" ma:contentTypeDescription="Crée un document." ma:contentTypeScope="" ma:versionID="fcb442cbd595d0735081ef0d7bba538d">
  <xsd:schema xmlns:xsd="http://www.w3.org/2001/XMLSchema" xmlns:xs="http://www.w3.org/2001/XMLSchema" xmlns:p="http://schemas.microsoft.com/office/2006/metadata/properties" xmlns:ns2="c6e1dbaa-f5ec-430a-8172-198371c9900d" xmlns:ns3="a0a5e279-8f11-4bbc-a612-8fcc5e01f49f" targetNamespace="http://schemas.microsoft.com/office/2006/metadata/properties" ma:root="true" ma:fieldsID="23fb74a9fc93720c1e682943c3209738" ns2:_="" ns3:_="">
    <xsd:import namespace="c6e1dbaa-f5ec-430a-8172-198371c9900d"/>
    <xsd:import namespace="a0a5e279-8f11-4bbc-a612-8fcc5e01f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1dbaa-f5ec-430a-8172-198371c99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c6e53a5-4d3f-4b85-b9de-4ba2d7c7ad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5e279-8f11-4bbc-a612-8fcc5e01f4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9e17f4-c5c2-4c2e-afa4-865bf2de03cf}" ma:internalName="TaxCatchAll" ma:showField="CatchAllData" ma:web="a0a5e279-8f11-4bbc-a612-8fcc5e01f4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C4AEA7-E38C-4D47-95E7-DF07F56AD135}">
  <ds:schemaRefs>
    <ds:schemaRef ds:uri="c6e1dbaa-f5ec-430a-8172-198371c9900d"/>
    <ds:schemaRef ds:uri="http://purl.org/dc/elements/1.1/"/>
    <ds:schemaRef ds:uri="http://schemas.microsoft.com/office/2006/documentManagement/types"/>
    <ds:schemaRef ds:uri="http://www.w3.org/XML/1998/namespace"/>
    <ds:schemaRef ds:uri="a0a5e279-8f11-4bbc-a612-8fcc5e01f49f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9A8DA13-F2F8-42BD-9752-C29E6B0BF7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72CE35-F440-4CC3-B268-4D548305FF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1dbaa-f5ec-430a-8172-198371c9900d"/>
    <ds:schemaRef ds:uri="a0a5e279-8f11-4bbc-a612-8fcc5e01f4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Zoom Indicateurs 2025</vt:lpstr>
      <vt:lpstr>Synthèse PM02 2025</vt:lpstr>
      <vt:lpstr>Objectifs 2026</vt:lpstr>
      <vt:lpstr>Détails1</vt:lpstr>
      <vt:lpstr>Indicateur audit processus</vt:lpstr>
      <vt:lpstr>Synthèse PR07 2024</vt:lpstr>
      <vt:lpstr>'Objectifs 2026'!Zone_d_impression</vt:lpstr>
      <vt:lpstr>'Zoom Indicateurs 2025'!Zone_d_impression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 STREIFF</dc:creator>
  <cp:keywords/>
  <dc:description/>
  <cp:lastModifiedBy>Fabien MARTZ</cp:lastModifiedBy>
  <cp:revision/>
  <dcterms:created xsi:type="dcterms:W3CDTF">2021-02-24T09:23:01Z</dcterms:created>
  <dcterms:modified xsi:type="dcterms:W3CDTF">2026-05-20T14:56:42Z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0x0101008B4EF3B605E56043AA1FF4303F9DB698</vt:lpwstr>
  </property>
  <property fmtid="{D5CDD505-2E9C-101B-9397-08002B2CF9AE}" pid="3" name="MediaServiceImageTags">
    <vt:lpwstr/>
  </property>
</Properties>
</file>